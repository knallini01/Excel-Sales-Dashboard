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8_{8E0A5203-2367-4552-849D-C83CBF7E9F64}" xr6:coauthVersionLast="47" xr6:coauthVersionMax="47" xr10:uidLastSave="{00000000-0000-0000-0000-000000000000}"/>
  <bookViews>
    <workbookView xWindow="-120" yWindow="-120" windowWidth="20730" windowHeight="11040" activeTab="2" xr2:uid="{5DB5CEBA-F2AC-44A4-9056-ED91E818E612}"/>
  </bookViews>
  <sheets>
    <sheet name="Sales data" sheetId="1" r:id="rId1"/>
    <sheet name="Pivot tables" sheetId="2" r:id="rId2"/>
    <sheet name="Dashboard" sheetId="3" r:id="rId3"/>
  </sheets>
  <definedNames>
    <definedName name="Slicer_Products">#N/A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I2" i="1" s="1"/>
  <c r="H3" i="1"/>
  <c r="I3" i="1" s="1"/>
  <c r="H4" i="1"/>
  <c r="H5" i="1"/>
  <c r="I5" i="1" s="1"/>
  <c r="H6" i="1"/>
  <c r="I6" i="1" s="1"/>
  <c r="H7" i="1"/>
  <c r="H8" i="1"/>
  <c r="H9" i="1"/>
  <c r="I9" i="1" s="1"/>
  <c r="H10" i="1"/>
  <c r="I10" i="1" s="1"/>
  <c r="H11" i="1"/>
  <c r="I11" i="1" s="1"/>
  <c r="H12" i="1"/>
  <c r="H13" i="1"/>
  <c r="I13" i="1" s="1"/>
  <c r="H14" i="1"/>
  <c r="I14" i="1" s="1"/>
  <c r="H15" i="1"/>
  <c r="H16" i="1"/>
  <c r="H17" i="1"/>
  <c r="I17" i="1" s="1"/>
  <c r="H18" i="1"/>
  <c r="I18" i="1" s="1"/>
  <c r="H19" i="1"/>
  <c r="H20" i="1"/>
  <c r="H21" i="1"/>
  <c r="I21" i="1" s="1"/>
  <c r="H22" i="1"/>
  <c r="I22" i="1" s="1"/>
  <c r="H23" i="1"/>
  <c r="H24" i="1"/>
  <c r="I4" i="1"/>
  <c r="I7" i="1"/>
  <c r="I8" i="1"/>
  <c r="I12" i="1"/>
  <c r="I15" i="1"/>
  <c r="I16" i="1"/>
  <c r="I19" i="1"/>
  <c r="I20" i="1"/>
  <c r="I23" i="1"/>
  <c r="I24" i="1"/>
  <c r="L15" i="1"/>
  <c r="L19" i="1" l="1"/>
  <c r="N16" i="1"/>
  <c r="L12" i="1"/>
</calcChain>
</file>

<file path=xl/sharedStrings.xml><?xml version="1.0" encoding="utf-8"?>
<sst xmlns="http://schemas.openxmlformats.org/spreadsheetml/2006/main" count="131" uniqueCount="47">
  <si>
    <t>19-02-2021</t>
  </si>
  <si>
    <t>Andrew</t>
  </si>
  <si>
    <t>West</t>
  </si>
  <si>
    <t>Tent</t>
  </si>
  <si>
    <t>Grace</t>
  </si>
  <si>
    <t>East</t>
  </si>
  <si>
    <t>Blender</t>
  </si>
  <si>
    <t>Ella</t>
  </si>
  <si>
    <t>South</t>
  </si>
  <si>
    <t>Action Figure</t>
  </si>
  <si>
    <t>Cameron</t>
  </si>
  <si>
    <t>North</t>
  </si>
  <si>
    <t>Novel</t>
  </si>
  <si>
    <t>23-09-2021</t>
  </si>
  <si>
    <t>Megan</t>
  </si>
  <si>
    <t>Sneakers</t>
  </si>
  <si>
    <t>Carolyn</t>
  </si>
  <si>
    <t>Virginia.</t>
  </si>
  <si>
    <t>Connor</t>
  </si>
  <si>
    <t>27-01-2021</t>
  </si>
  <si>
    <t>Anna</t>
  </si>
  <si>
    <t>Moisturizer</t>
  </si>
  <si>
    <t>Nicholas</t>
  </si>
  <si>
    <t>30-09-2021</t>
  </si>
  <si>
    <t>27-07-2021</t>
  </si>
  <si>
    <t>15-06-2021</t>
  </si>
  <si>
    <t>13-08-2021</t>
  </si>
  <si>
    <t>27-08-2020</t>
  </si>
  <si>
    <t>Smartphone</t>
  </si>
  <si>
    <t>21-12-2021</t>
  </si>
  <si>
    <t>Date</t>
  </si>
  <si>
    <t>Sales person</t>
  </si>
  <si>
    <t>Region</t>
  </si>
  <si>
    <t>Products</t>
  </si>
  <si>
    <t>Units sold</t>
  </si>
  <si>
    <t>Unit price</t>
  </si>
  <si>
    <t>Cost of goods</t>
  </si>
  <si>
    <t>Total sales</t>
  </si>
  <si>
    <t>Profit</t>
  </si>
  <si>
    <t>total profit</t>
  </si>
  <si>
    <t>unit sold</t>
  </si>
  <si>
    <t xml:space="preserve">Grand total </t>
  </si>
  <si>
    <t>Row Labels</t>
  </si>
  <si>
    <t>Grand Total</t>
  </si>
  <si>
    <t>Sum of Total sales</t>
  </si>
  <si>
    <t>Sum of Units sold</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</si>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</sst>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64" formatCode="_-[$Rs.-849]* #,##0_-;\-[$Rs.-849]* #,##0_-;_-[$Rs.-849]* &quot;-&quot;_-;_-@_-"/>
    <numFmt numFmtId="165" formatCode="&quot;₹&quot;\ ##\.##,\ &quot;L&quot;"/>
  </numFmts>
  <fonts count="4" x14ac:knownFonts="1">
    <font>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239996"/>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14" fontId="0" fillId="2" borderId="1" xfId="0" applyNumberFormat="1" applyFill="1" applyBorder="1"/>
    <xf numFmtId="0" fontId="0" fillId="2" borderId="2" xfId="0" applyFill="1" applyBorder="1"/>
    <xf numFmtId="3" fontId="0" fillId="2" borderId="2" xfId="0" applyNumberFormat="1" applyFill="1" applyBorder="1"/>
    <xf numFmtId="164" fontId="0" fillId="2" borderId="2" xfId="0" applyNumberFormat="1" applyFill="1" applyBorder="1"/>
    <xf numFmtId="164" fontId="0" fillId="2" borderId="2" xfId="1" applyNumberFormat="1" applyFont="1" applyFill="1" applyBorder="1"/>
    <xf numFmtId="164" fontId="0" fillId="2" borderId="3" xfId="0" applyNumberFormat="1" applyFill="1" applyBorder="1"/>
    <xf numFmtId="14" fontId="0" fillId="0" borderId="1" xfId="0" applyNumberFormat="1" applyBorder="1"/>
    <xf numFmtId="0" fontId="0" fillId="0" borderId="2" xfId="0" applyBorder="1"/>
    <xf numFmtId="3" fontId="0" fillId="0" borderId="2" xfId="0" applyNumberFormat="1" applyBorder="1"/>
    <xf numFmtId="164" fontId="0" fillId="0" borderId="2" xfId="0" applyNumberFormat="1" applyBorder="1"/>
    <xf numFmtId="14" fontId="0" fillId="2" borderId="4" xfId="0" applyNumberFormat="1" applyFill="1" applyBorder="1"/>
    <xf numFmtId="0" fontId="0" fillId="2" borderId="5" xfId="0" applyFill="1" applyBorder="1"/>
    <xf numFmtId="3" fontId="0" fillId="2" borderId="5" xfId="0" applyNumberFormat="1" applyFill="1" applyBorder="1"/>
    <xf numFmtId="164" fontId="0" fillId="2" borderId="5" xfId="0" applyNumberFormat="1" applyFill="1" applyBorder="1"/>
    <xf numFmtId="0" fontId="0" fillId="0" borderId="0" xfId="0" pivotButton="1"/>
    <xf numFmtId="0" fontId="0" fillId="0" borderId="0" xfId="0" applyAlignment="1">
      <alignment horizontal="left"/>
    </xf>
    <xf numFmtId="165" fontId="0" fillId="0" borderId="0" xfId="0" applyNumberFormat="1"/>
    <xf numFmtId="41" fontId="0" fillId="0" borderId="0" xfId="0" applyNumberFormat="1"/>
    <xf numFmtId="0" fontId="3" fillId="3" borderId="0" xfId="0" applyFont="1" applyFill="1"/>
  </cellXfs>
  <cellStyles count="2">
    <cellStyle name="Comma" xfId="1" builtinId="3"/>
    <cellStyle name="Normal" xfId="0" builtinId="0"/>
  </cellStyles>
  <dxfs count="11">
    <dxf>
      <numFmt numFmtId="164" formatCode="_-[$Rs.-849]* #,##0_-;\-[$Rs.-849]* #,##0_-;_-[$Rs.-849]* &quot;-&quot;_-;_-@_-"/>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Rs.-849]* #,##0_-;\-[$Rs.-849]* #,##0_-;_-[$Rs.-849]*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_-[$Rs.-849]* #,##0_-;\-[$Rs.-849]* #,##0_-;_-[$Rs.-849]*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dd/mm/yyyy"/>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i val="0"/>
        <color theme="1"/>
      </font>
    </dxf>
  </dxfs>
  <tableStyles count="1" defaultTableStyle="TableStyleMedium2" defaultPivotStyle="PivotStyleLight16">
    <tableStyle name="Slicer Style 1" pivot="0" table="0" count="2" xr9:uid="{983620BC-9B45-485F-9915-7906E526613F}">
      <tableStyleElement type="headerRow" dxfId="10"/>
    </tableStyle>
  </tableStyles>
  <colors>
    <mruColors>
      <color rgb="FF239996"/>
      <color rgb="FF07B56F"/>
      <color rgb="FF31ADAD"/>
      <color rgb="FF009999"/>
      <color rgb="FF288E8C"/>
      <color rgb="FF00BCB8"/>
      <color rgb="FF008986"/>
      <color rgb="FF2C85B2"/>
      <color rgb="FF3876D0"/>
    </mruColors>
  </colors>
  <extLst>
    <ext xmlns:x14="http://schemas.microsoft.com/office/spreadsheetml/2009/9/main" uri="{46F421CA-312F-682f-3DD2-61675219B42D}">
      <x14:dxfs count="1">
        <dxf>
          <font>
            <b/>
            <i val="0"/>
            <color theme="6" tint="0.79998168889431442"/>
          </font>
          <fill>
            <patternFill>
              <fgColor auto="1"/>
              <bgColor rgb="FF23999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region</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schemeClr>
          </a:solidFill>
          <a:ln w="19050">
            <a:solidFill>
              <a:schemeClr val="lt1"/>
            </a:solidFill>
          </a:ln>
          <a:effectLst/>
        </c:spPr>
        <c:dLbl>
          <c:idx val="0"/>
          <c:layout>
            <c:manualLayout>
              <c:x val="-0.11020756336284061"/>
              <c:y val="-6.795707338957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9.918680702655655E-2"/>
              <c:y val="-0.11144960035889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190188675841727"/>
              <c:y val="-7.30058302655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2.8653966474338478E-2"/>
              <c:y val="0.125041015036813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0099446034213428"/>
          <c:y val="0.1104686359658818"/>
          <c:w val="0.59077762283153601"/>
          <c:h val="0.72858009099612653"/>
        </c:manualLayout>
      </c:layout>
      <c:doughnutChart>
        <c:varyColors val="1"/>
        <c:ser>
          <c:idx val="0"/>
          <c:order val="0"/>
          <c:tx>
            <c:strRef>
              <c:f>'Pivot tables'!$B$3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79F9-4BE1-932E-3E55A4C6693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6-79F9-4BE1-932E-3E55A4C6693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7-79F9-4BE1-932E-3E55A4C6693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79F9-4BE1-932E-3E55A4C66933}"/>
              </c:ext>
            </c:extLst>
          </c:dPt>
          <c:dLbls>
            <c:dLbl>
              <c:idx val="0"/>
              <c:layout>
                <c:manualLayout>
                  <c:x val="9.918680702655655E-2"/>
                  <c:y val="-0.111449600358898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F9-4BE1-932E-3E55A4C66933}"/>
                </c:ext>
              </c:extLst>
            </c:dLbl>
            <c:dLbl>
              <c:idx val="1"/>
              <c:layout>
                <c:manualLayout>
                  <c:x val="0.1190188675841727"/>
                  <c:y val="-7.3005830265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F9-4BE1-932E-3E55A4C66933}"/>
                </c:ext>
              </c:extLst>
            </c:dLbl>
            <c:dLbl>
              <c:idx val="2"/>
              <c:layout>
                <c:manualLayout>
                  <c:x val="2.8653966474338478E-2"/>
                  <c:y val="0.125041015036813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79F9-4BE1-932E-3E55A4C66933}"/>
                </c:ext>
              </c:extLst>
            </c:dLbl>
            <c:dLbl>
              <c:idx val="3"/>
              <c:layout>
                <c:manualLayout>
                  <c:x val="-0.11020756336284061"/>
                  <c:y val="-6.7957073389572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F9-4BE1-932E-3E55A4C669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 ##\.##,\ "L"</c:formatCode>
                <c:ptCount val="4"/>
                <c:pt idx="0">
                  <c:v>845000</c:v>
                </c:pt>
                <c:pt idx="1">
                  <c:v>1325000</c:v>
                </c:pt>
                <c:pt idx="2">
                  <c:v>2020200</c:v>
                </c:pt>
                <c:pt idx="3">
                  <c:v>2776600</c:v>
                </c:pt>
              </c:numCache>
            </c:numRef>
          </c:val>
          <c:extLst>
            <c:ext xmlns:c16="http://schemas.microsoft.com/office/drawing/2014/chart" uri="{C3380CC4-5D6E-409C-BE32-E72D297353CC}">
              <c16:uniqueId val="{00000000-79F9-4BE1-932E-3E55A4C6693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31284653215474967"/>
          <c:y val="0.88025224492933374"/>
          <c:w val="0.39853795215475657"/>
          <c:h val="0.10356731900154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cene3d>
      <a:camera prst="orthographicFront"/>
      <a:lightRig rig="threePt" dir="t"/>
    </a:scene3d>
    <a:sp3d>
      <a:bevelT w="0" h="6350"/>
      <a:bevelB w="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Products</c:name>
    <c:fmtId val="15"/>
  </c:pivotSource>
  <c:chart>
    <c:autoTitleDeleted val="1"/>
    <c:pivotFmts>
      <c:pivotFmt>
        <c:idx val="0"/>
        <c:spPr>
          <a:solidFill>
            <a:schemeClr val="accent5"/>
          </a:solidFill>
          <a:ln>
            <a:noFill/>
          </a:ln>
          <a:effectLst>
            <a:glow rad="635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glow rad="63500">
              <a:schemeClr val="accent6">
                <a:satMod val="175000"/>
                <a:alpha val="40000"/>
              </a:schemeClr>
            </a:glow>
          </a:effectLst>
        </c:spPr>
      </c:pivotFmt>
      <c:pivotFmt>
        <c:idx val="2"/>
        <c:spPr>
          <a:solidFill>
            <a:schemeClr val="accent5"/>
          </a:solidFill>
          <a:ln>
            <a:noFill/>
          </a:ln>
          <a:effectLst>
            <a:glow rad="63500">
              <a:schemeClr val="accent6">
                <a:satMod val="175000"/>
                <a:alpha val="40000"/>
              </a:schemeClr>
            </a:glow>
          </a:effectLst>
        </c:spPr>
      </c:pivotFmt>
      <c:pivotFmt>
        <c:idx val="3"/>
        <c:spPr>
          <a:solidFill>
            <a:schemeClr val="accent5"/>
          </a:solidFill>
          <a:ln>
            <a:noFill/>
          </a:ln>
          <a:effectLst>
            <a:glow rad="63500">
              <a:schemeClr val="accent6">
                <a:satMod val="175000"/>
                <a:alpha val="40000"/>
              </a:schemeClr>
            </a:glow>
          </a:effectLst>
        </c:spPr>
      </c:pivotFmt>
    </c:pivotFmts>
    <c:plotArea>
      <c:layout/>
      <c:barChart>
        <c:barDir val="bar"/>
        <c:grouping val="clustered"/>
        <c:varyColors val="0"/>
        <c:ser>
          <c:idx val="0"/>
          <c:order val="0"/>
          <c:tx>
            <c:strRef>
              <c:f>'Pivot tables'!$E$3</c:f>
              <c:strCache>
                <c:ptCount val="1"/>
                <c:pt idx="0">
                  <c:v>Total</c:v>
                </c:pt>
              </c:strCache>
            </c:strRef>
          </c:tx>
          <c:spPr>
            <a:solidFill>
              <a:schemeClr val="accent5"/>
            </a:solidFill>
            <a:ln>
              <a:noFill/>
            </a:ln>
            <a:effectLst>
              <a:glow rad="63500">
                <a:schemeClr val="accent6">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 ##\.##,\ "L"</c:formatCode>
                <c:ptCount val="7"/>
                <c:pt idx="0">
                  <c:v>290400</c:v>
                </c:pt>
                <c:pt idx="1">
                  <c:v>1050000</c:v>
                </c:pt>
                <c:pt idx="2">
                  <c:v>227400</c:v>
                </c:pt>
                <c:pt idx="3">
                  <c:v>397000</c:v>
                </c:pt>
                <c:pt idx="4">
                  <c:v>1080000</c:v>
                </c:pt>
                <c:pt idx="5">
                  <c:v>1804000</c:v>
                </c:pt>
                <c:pt idx="6">
                  <c:v>2118000</c:v>
                </c:pt>
              </c:numCache>
            </c:numRef>
          </c:val>
          <c:extLst>
            <c:ext xmlns:c16="http://schemas.microsoft.com/office/drawing/2014/chart" uri="{C3380CC4-5D6E-409C-BE32-E72D297353CC}">
              <c16:uniqueId val="{00000000-6924-49F2-BCB8-A8420E86EEA3}"/>
            </c:ext>
          </c:extLst>
        </c:ser>
        <c:dLbls>
          <c:dLblPos val="outEnd"/>
          <c:showLegendKey val="0"/>
          <c:showVal val="1"/>
          <c:showCatName val="0"/>
          <c:showSerName val="0"/>
          <c:showPercent val="0"/>
          <c:showBubbleSize val="0"/>
        </c:dLbls>
        <c:gapWidth val="80"/>
        <c:axId val="2041581247"/>
        <c:axId val="2043143327"/>
      </c:barChart>
      <c:catAx>
        <c:axId val="204158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43327"/>
        <c:crosses val="autoZero"/>
        <c:auto val="1"/>
        <c:lblAlgn val="ctr"/>
        <c:lblOffset val="100"/>
        <c:noMultiLvlLbl val="0"/>
      </c:catAx>
      <c:valAx>
        <c:axId val="2043143327"/>
        <c:scaling>
          <c:orientation val="minMax"/>
        </c:scaling>
        <c:delete val="1"/>
        <c:axPos val="b"/>
        <c:numFmt formatCode="&quot;₹&quot;\ ##\.##,\ &quot;L&quot;" sourceLinked="1"/>
        <c:majorTickMark val="none"/>
        <c:minorTickMark val="none"/>
        <c:tickLblPos val="nextTo"/>
        <c:crossAx val="2041581247"/>
        <c:crosses val="autoZero"/>
        <c:crossBetween val="between"/>
      </c:valAx>
      <c:spPr>
        <a:noFill/>
        <a:ln>
          <a:noFill/>
        </a:ln>
        <a:effectLst>
          <a:glow rad="63500">
            <a:schemeClr val="accent6">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Sales person</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 ##\.##,\ "L"</c:formatCode>
                <c:ptCount val="10"/>
                <c:pt idx="0">
                  <c:v>615600</c:v>
                </c:pt>
                <c:pt idx="1">
                  <c:v>268600</c:v>
                </c:pt>
                <c:pt idx="2">
                  <c:v>357000</c:v>
                </c:pt>
                <c:pt idx="3">
                  <c:v>1141200</c:v>
                </c:pt>
                <c:pt idx="4">
                  <c:v>1638000</c:v>
                </c:pt>
                <c:pt idx="5">
                  <c:v>739200</c:v>
                </c:pt>
                <c:pt idx="6">
                  <c:v>1028000</c:v>
                </c:pt>
                <c:pt idx="7">
                  <c:v>586200</c:v>
                </c:pt>
                <c:pt idx="8">
                  <c:v>515000</c:v>
                </c:pt>
                <c:pt idx="9">
                  <c:v>78000</c:v>
                </c:pt>
              </c:numCache>
            </c:numRef>
          </c:val>
          <c:shape val="pyramidToMax"/>
          <c:extLst>
            <c:ext xmlns:c16="http://schemas.microsoft.com/office/drawing/2014/chart" uri="{C3380CC4-5D6E-409C-BE32-E72D297353CC}">
              <c16:uniqueId val="{00000000-670E-4A88-BB12-ECC755B734AF}"/>
            </c:ext>
          </c:extLst>
        </c:ser>
        <c:dLbls>
          <c:showLegendKey val="0"/>
          <c:showVal val="1"/>
          <c:showCatName val="0"/>
          <c:showSerName val="0"/>
          <c:showPercent val="0"/>
          <c:showBubbleSize val="0"/>
        </c:dLbls>
        <c:gapWidth val="82"/>
        <c:shape val="box"/>
        <c:axId val="2117821695"/>
        <c:axId val="2117821215"/>
        <c:axId val="0"/>
      </c:bar3DChart>
      <c:catAx>
        <c:axId val="211782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21215"/>
        <c:crosses val="autoZero"/>
        <c:auto val="1"/>
        <c:lblAlgn val="ctr"/>
        <c:lblOffset val="100"/>
        <c:noMultiLvlLbl val="0"/>
      </c:catAx>
      <c:valAx>
        <c:axId val="2117821215"/>
        <c:scaling>
          <c:orientation val="minMax"/>
        </c:scaling>
        <c:delete val="1"/>
        <c:axPos val="l"/>
        <c:numFmt formatCode="&quot;₹&quot;\ ##\.##,\ &quot;L&quot;" sourceLinked="1"/>
        <c:majorTickMark val="none"/>
        <c:minorTickMark val="none"/>
        <c:tickLblPos val="nextTo"/>
        <c:crossAx val="21178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tables!Units Sold Pivot</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pivotFmt>
    </c:pivotFmts>
    <c:plotArea>
      <c:layout/>
      <c:lineChart>
        <c:grouping val="standard"/>
        <c:varyColors val="0"/>
        <c:ser>
          <c:idx val="0"/>
          <c:order val="0"/>
          <c:tx>
            <c:strRef>
              <c:f>'Pivot tables'!$C$18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s>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tables'!$B$19:$B$26</c:f>
              <c:strCache>
                <c:ptCount val="7"/>
                <c:pt idx="0">
                  <c:v>Action Figure</c:v>
                </c:pt>
                <c:pt idx="1">
                  <c:v>Blender</c:v>
                </c:pt>
                <c:pt idx="2">
                  <c:v>Moisturizer</c:v>
                </c:pt>
                <c:pt idx="3">
                  <c:v>Novel</c:v>
                </c:pt>
                <c:pt idx="4">
                  <c:v>Smartphone</c:v>
                </c:pt>
                <c:pt idx="5">
                  <c:v>Sneakers</c:v>
                </c:pt>
                <c:pt idx="6">
                  <c:v>Tent</c:v>
                </c:pt>
              </c:strCache>
            </c:strRef>
          </c:cat>
          <c:val>
            <c:numRef>
              <c:f>'Pivot tables'!$C$19:$C$26</c:f>
              <c:numCache>
                <c:formatCode>General</c:formatCode>
                <c:ptCount val="7"/>
                <c:pt idx="0">
                  <c:v>242</c:v>
                </c:pt>
                <c:pt idx="1">
                  <c:v>300</c:v>
                </c:pt>
                <c:pt idx="2">
                  <c:v>379</c:v>
                </c:pt>
                <c:pt idx="3">
                  <c:v>397</c:v>
                </c:pt>
                <c:pt idx="4">
                  <c:v>108</c:v>
                </c:pt>
                <c:pt idx="5">
                  <c:v>451</c:v>
                </c:pt>
                <c:pt idx="6">
                  <c:v>353</c:v>
                </c:pt>
              </c:numCache>
            </c:numRef>
          </c:val>
          <c:smooth val="1"/>
          <c:extLst>
            <c:ext xmlns:c16="http://schemas.microsoft.com/office/drawing/2014/chart" uri="{C3380CC4-5D6E-409C-BE32-E72D297353CC}">
              <c16:uniqueId val="{00000000-765D-4915-8E19-A28F0C78B395}"/>
            </c:ext>
          </c:extLst>
        </c:ser>
        <c:dLbls>
          <c:dLblPos val="t"/>
          <c:showLegendKey val="0"/>
          <c:showVal val="1"/>
          <c:showCatName val="0"/>
          <c:showSerName val="0"/>
          <c:showPercent val="0"/>
          <c:showBubbleSize val="0"/>
        </c:dLbls>
        <c:dropLines>
          <c:spPr>
            <a:ln w="15875" cap="flat" cmpd="sng" algn="ctr">
              <a:solidFill>
                <a:schemeClr val="accent5"/>
              </a:solidFill>
              <a:round/>
              <a:tailEnd type="none" w="sm" len="lg"/>
            </a:ln>
            <a:effectLst/>
          </c:spPr>
        </c:dropLines>
        <c:marker val="1"/>
        <c:smooth val="0"/>
        <c:axId val="312848095"/>
        <c:axId val="312852415"/>
      </c:lineChart>
      <c:catAx>
        <c:axId val="312848095"/>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1100" b="1" i="0" u="none" strike="noStrike" kern="1200" spc="100" baseline="0">
                <a:solidFill>
                  <a:schemeClr val="tx1"/>
                </a:solidFill>
                <a:latin typeface="+mn-lt"/>
                <a:ea typeface="+mn-ea"/>
                <a:cs typeface="+mn-cs"/>
              </a:defRPr>
            </a:pPr>
            <a:endParaRPr lang="en-US"/>
          </a:p>
        </c:txPr>
        <c:crossAx val="312852415"/>
        <c:crosses val="autoZero"/>
        <c:auto val="1"/>
        <c:lblAlgn val="ctr"/>
        <c:lblOffset val="100"/>
        <c:noMultiLvlLbl val="0"/>
      </c:catAx>
      <c:valAx>
        <c:axId val="312852415"/>
        <c:scaling>
          <c:orientation val="minMax"/>
        </c:scaling>
        <c:delete val="1"/>
        <c:axPos val="l"/>
        <c:numFmt formatCode="General" sourceLinked="1"/>
        <c:majorTickMark val="none"/>
        <c:minorTickMark val="none"/>
        <c:tickLblPos val="nextTo"/>
        <c:crossAx val="3128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tables!Units Sold Pivot</c:name>
    <c:fmtId val="16"/>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22738824313631E-2"/>
          <c:y val="7.5650118203309691E-2"/>
          <c:w val="0.89563820254272331"/>
          <c:h val="0.59390800391206566"/>
        </c:manualLayout>
      </c:layout>
      <c:lineChart>
        <c:grouping val="standard"/>
        <c:varyColors val="0"/>
        <c:ser>
          <c:idx val="0"/>
          <c:order val="0"/>
          <c:tx>
            <c:strRef>
              <c:f>'Pivot tables'!$C$18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diamond"/>
            <c:size val="12"/>
            <c:spPr>
              <a:solidFill>
                <a:srgbClr val="00B050"/>
              </a:solidFill>
              <a:ln w="22225">
                <a:solidFill>
                  <a:schemeClr val="lt1"/>
                </a:solidFill>
                <a:round/>
              </a:ln>
              <a:effectLst/>
            </c:spPr>
          </c:marker>
          <c:dLbls>
            <c:spPr>
              <a:solidFill>
                <a:srgbClr val="92D05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tables'!$B$19:$B$26</c:f>
              <c:strCache>
                <c:ptCount val="7"/>
                <c:pt idx="0">
                  <c:v>Action Figure</c:v>
                </c:pt>
                <c:pt idx="1">
                  <c:v>Blender</c:v>
                </c:pt>
                <c:pt idx="2">
                  <c:v>Moisturizer</c:v>
                </c:pt>
                <c:pt idx="3">
                  <c:v>Novel</c:v>
                </c:pt>
                <c:pt idx="4">
                  <c:v>Smartphone</c:v>
                </c:pt>
                <c:pt idx="5">
                  <c:v>Sneakers</c:v>
                </c:pt>
                <c:pt idx="6">
                  <c:v>Tent</c:v>
                </c:pt>
              </c:strCache>
            </c:strRef>
          </c:cat>
          <c:val>
            <c:numRef>
              <c:f>'Pivot tables'!$C$19:$C$26</c:f>
              <c:numCache>
                <c:formatCode>General</c:formatCode>
                <c:ptCount val="7"/>
                <c:pt idx="0">
                  <c:v>242</c:v>
                </c:pt>
                <c:pt idx="1">
                  <c:v>300</c:v>
                </c:pt>
                <c:pt idx="2">
                  <c:v>379</c:v>
                </c:pt>
                <c:pt idx="3">
                  <c:v>397</c:v>
                </c:pt>
                <c:pt idx="4">
                  <c:v>108</c:v>
                </c:pt>
                <c:pt idx="5">
                  <c:v>451</c:v>
                </c:pt>
                <c:pt idx="6">
                  <c:v>353</c:v>
                </c:pt>
              </c:numCache>
            </c:numRef>
          </c:val>
          <c:smooth val="1"/>
          <c:extLst>
            <c:ext xmlns:c16="http://schemas.microsoft.com/office/drawing/2014/chart" uri="{C3380CC4-5D6E-409C-BE32-E72D297353CC}">
              <c16:uniqueId val="{00000000-5FFF-4855-B228-EF947D619993}"/>
            </c:ext>
          </c:extLst>
        </c:ser>
        <c:dLbls>
          <c:dLblPos val="t"/>
          <c:showLegendKey val="0"/>
          <c:showVal val="1"/>
          <c:showCatName val="0"/>
          <c:showSerName val="0"/>
          <c:showPercent val="0"/>
          <c:showBubbleSize val="0"/>
        </c:dLbls>
        <c:dropLines>
          <c:spPr>
            <a:ln w="15875" cap="flat" cmpd="sng" algn="ctr">
              <a:solidFill>
                <a:schemeClr val="accent5"/>
              </a:solidFill>
              <a:round/>
              <a:tailEnd type="none" w="sm" len="lg"/>
            </a:ln>
            <a:effectLst/>
          </c:spPr>
        </c:dropLines>
        <c:marker val="1"/>
        <c:smooth val="0"/>
        <c:axId val="312848095"/>
        <c:axId val="312852415"/>
      </c:lineChart>
      <c:catAx>
        <c:axId val="312848095"/>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1100" b="0" i="0" u="none" strike="noStrike" kern="1200" spc="100" baseline="0">
                <a:solidFill>
                  <a:schemeClr val="tx1"/>
                </a:solidFill>
                <a:latin typeface="+mn-lt"/>
                <a:ea typeface="+mn-ea"/>
                <a:cs typeface="+mn-cs"/>
              </a:defRPr>
            </a:pPr>
            <a:endParaRPr lang="en-US"/>
          </a:p>
        </c:txPr>
        <c:crossAx val="312852415"/>
        <c:crosses val="autoZero"/>
        <c:auto val="1"/>
        <c:lblAlgn val="ctr"/>
        <c:lblOffset val="100"/>
        <c:noMultiLvlLbl val="0"/>
      </c:catAx>
      <c:valAx>
        <c:axId val="312852415"/>
        <c:scaling>
          <c:orientation val="minMax"/>
        </c:scaling>
        <c:delete val="1"/>
        <c:axPos val="l"/>
        <c:numFmt formatCode="General" sourceLinked="1"/>
        <c:majorTickMark val="none"/>
        <c:minorTickMark val="none"/>
        <c:tickLblPos val="nextTo"/>
        <c:crossAx val="3128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region</c:name>
    <c:fmtId val="36"/>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schemeClr>
          </a:solidFill>
          <a:ln w="19050">
            <a:solidFill>
              <a:schemeClr val="lt1"/>
            </a:solidFill>
          </a:ln>
          <a:effectLst/>
        </c:spPr>
        <c:dLbl>
          <c:idx val="0"/>
          <c:layout>
            <c:manualLayout>
              <c:x val="-0.11020756336284061"/>
              <c:y val="-6.795707338957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9.918680702655655E-2"/>
              <c:y val="-0.11144960035889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190188675841727"/>
              <c:y val="-7.30058302655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2.8653966474338478E-2"/>
              <c:y val="0.125041015036813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9.918680702655655E-2"/>
              <c:y val="-0.11144960035889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190188675841727"/>
              <c:y val="-7.30058302655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2.8653966474338478E-2"/>
              <c:y val="0.125041015036813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lumMod val="60000"/>
            </a:schemeClr>
          </a:solidFill>
          <a:ln w="19050">
            <a:solidFill>
              <a:schemeClr val="lt1"/>
            </a:solidFill>
          </a:ln>
          <a:effectLst/>
        </c:spPr>
        <c:dLbl>
          <c:idx val="0"/>
          <c:layout>
            <c:manualLayout>
              <c:x val="-0.11020756336284061"/>
              <c:y val="-6.7957073389572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9.918680702655655E-2"/>
              <c:y val="-0.11144960035889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0.12496090373487762"/>
              <c:y val="-0.13640644802283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0.22382994849937002"/>
              <c:y val="6.323717743910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6">
              <a:lumMod val="60000"/>
            </a:schemeClr>
          </a:solidFill>
          <a:ln w="19050">
            <a:solidFill>
              <a:schemeClr val="lt1"/>
            </a:solidFill>
          </a:ln>
          <a:effectLst/>
        </c:spPr>
        <c:dLbl>
          <c:idx val="0"/>
          <c:layout>
            <c:manualLayout>
              <c:x val="-0.12803339645659759"/>
              <c:y val="-0.11867758022088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1048302468445"/>
          <c:y val="6.4637315356188149E-2"/>
          <c:w val="0.57437530776977597"/>
          <c:h val="0.8171470467640074"/>
        </c:manualLayout>
      </c:layout>
      <c:doughnutChart>
        <c:varyColors val="1"/>
        <c:ser>
          <c:idx val="0"/>
          <c:order val="0"/>
          <c:tx>
            <c:strRef>
              <c:f>'Pivot tables'!$B$3</c:f>
              <c:strCache>
                <c:ptCount val="1"/>
                <c:pt idx="0">
                  <c:v>Total</c:v>
                </c:pt>
              </c:strCache>
            </c:strRef>
          </c:tx>
          <c:explosion val="1"/>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8DF-42C4-B1D2-8D7FD25EC7D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8DF-42C4-B1D2-8D7FD25EC7D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8DF-42C4-B1D2-8D7FD25EC7D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8DF-42C4-B1D2-8D7FD25EC7D9}"/>
              </c:ext>
            </c:extLst>
          </c:dPt>
          <c:dLbls>
            <c:dLbl>
              <c:idx val="0"/>
              <c:layout>
                <c:manualLayout>
                  <c:x val="9.918680702655655E-2"/>
                  <c:y val="-0.111449600358898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DF-42C4-B1D2-8D7FD25EC7D9}"/>
                </c:ext>
              </c:extLst>
            </c:dLbl>
            <c:dLbl>
              <c:idx val="1"/>
              <c:layout>
                <c:manualLayout>
                  <c:x val="0.12496090373487762"/>
                  <c:y val="-0.13640644802283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DF-42C4-B1D2-8D7FD25EC7D9}"/>
                </c:ext>
              </c:extLst>
            </c:dLbl>
            <c:dLbl>
              <c:idx val="2"/>
              <c:layout>
                <c:manualLayout>
                  <c:x val="0.22382994849937002"/>
                  <c:y val="6.323717743910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D8DF-42C4-B1D2-8D7FD25EC7D9}"/>
                </c:ext>
              </c:extLst>
            </c:dLbl>
            <c:dLbl>
              <c:idx val="3"/>
              <c:layout>
                <c:manualLayout>
                  <c:x val="-0.12803339645659759"/>
                  <c:y val="-0.11867758022088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DF-42C4-B1D2-8D7FD25EC7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 ##\.##,\ "L"</c:formatCode>
                <c:ptCount val="4"/>
                <c:pt idx="0">
                  <c:v>845000</c:v>
                </c:pt>
                <c:pt idx="1">
                  <c:v>1325000</c:v>
                </c:pt>
                <c:pt idx="2">
                  <c:v>2020200</c:v>
                </c:pt>
                <c:pt idx="3">
                  <c:v>2776600</c:v>
                </c:pt>
              </c:numCache>
            </c:numRef>
          </c:val>
          <c:extLst>
            <c:ext xmlns:c16="http://schemas.microsoft.com/office/drawing/2014/chart" uri="{C3380CC4-5D6E-409C-BE32-E72D297353CC}">
              <c16:uniqueId val="{00000008-D8DF-42C4-B1D2-8D7FD25EC7D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9802253529404493"/>
          <c:y val="0.89459472605152501"/>
          <c:w val="0.39853795215475657"/>
          <c:h val="0.10356731900154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cene3d>
      <a:camera prst="orthographicFront"/>
      <a:lightRig rig="threePt" dir="t"/>
    </a:scene3d>
    <a:sp3d>
      <a:bevelT w="0" h="6350"/>
      <a:bevelB w="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Products</c:name>
    <c:fmtId val="27"/>
  </c:pivotSource>
  <c:chart>
    <c:autoTitleDeleted val="1"/>
    <c:pivotFmts>
      <c:pivotFmt>
        <c:idx val="0"/>
        <c:spPr>
          <a:solidFill>
            <a:schemeClr val="accent5"/>
          </a:solidFill>
          <a:ln>
            <a:noFill/>
          </a:ln>
          <a:effectLst>
            <a:glow rad="635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glow rad="63500">
              <a:schemeClr val="accent6">
                <a:satMod val="175000"/>
                <a:alpha val="40000"/>
              </a:schemeClr>
            </a:glow>
          </a:effectLst>
        </c:spPr>
      </c:pivotFmt>
      <c:pivotFmt>
        <c:idx val="2"/>
        <c:spPr>
          <a:solidFill>
            <a:schemeClr val="accent5"/>
          </a:solidFill>
          <a:ln>
            <a:noFill/>
          </a:ln>
          <a:effectLst>
            <a:glow rad="63500">
              <a:schemeClr val="accent6">
                <a:satMod val="175000"/>
                <a:alpha val="40000"/>
              </a:schemeClr>
            </a:glow>
          </a:effectLst>
        </c:spPr>
      </c:pivotFmt>
      <c:pivotFmt>
        <c:idx val="3"/>
        <c:spPr>
          <a:solidFill>
            <a:schemeClr val="accent5"/>
          </a:solidFill>
          <a:ln>
            <a:noFill/>
          </a:ln>
          <a:effectLst>
            <a:glow rad="63500">
              <a:schemeClr val="accent6">
                <a:satMod val="175000"/>
                <a:alpha val="40000"/>
              </a:schemeClr>
            </a:glow>
          </a:effectLst>
        </c:spPr>
      </c:pivotFmt>
      <c:pivotFmt>
        <c:idx val="4"/>
        <c:spPr>
          <a:solidFill>
            <a:schemeClr val="accent5"/>
          </a:solidFill>
          <a:ln>
            <a:noFill/>
          </a:ln>
          <a:effectLst>
            <a:glow rad="635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67109902263"/>
          <c:y val="3.3883367401977241E-2"/>
          <c:w val="0.82603289009773695"/>
          <c:h val="0.93788049309637511"/>
        </c:manualLayout>
      </c:layout>
      <c:barChart>
        <c:barDir val="bar"/>
        <c:grouping val="clustered"/>
        <c:varyColors val="0"/>
        <c:ser>
          <c:idx val="0"/>
          <c:order val="0"/>
          <c:tx>
            <c:strRef>
              <c:f>'Pivot tables'!$E$3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 ##\.##,\ "L"</c:formatCode>
                <c:ptCount val="7"/>
                <c:pt idx="0">
                  <c:v>290400</c:v>
                </c:pt>
                <c:pt idx="1">
                  <c:v>1050000</c:v>
                </c:pt>
                <c:pt idx="2">
                  <c:v>227400</c:v>
                </c:pt>
                <c:pt idx="3">
                  <c:v>397000</c:v>
                </c:pt>
                <c:pt idx="4">
                  <c:v>1080000</c:v>
                </c:pt>
                <c:pt idx="5">
                  <c:v>1804000</c:v>
                </c:pt>
                <c:pt idx="6">
                  <c:v>2118000</c:v>
                </c:pt>
              </c:numCache>
            </c:numRef>
          </c:val>
          <c:extLst>
            <c:ext xmlns:c16="http://schemas.microsoft.com/office/drawing/2014/chart" uri="{C3380CC4-5D6E-409C-BE32-E72D297353CC}">
              <c16:uniqueId val="{00000000-F94B-42B7-8206-0669A609D5AA}"/>
            </c:ext>
          </c:extLst>
        </c:ser>
        <c:dLbls>
          <c:dLblPos val="outEnd"/>
          <c:showLegendKey val="0"/>
          <c:showVal val="1"/>
          <c:showCatName val="0"/>
          <c:showSerName val="0"/>
          <c:showPercent val="0"/>
          <c:showBubbleSize val="0"/>
        </c:dLbls>
        <c:gapWidth val="80"/>
        <c:axId val="2041581247"/>
        <c:axId val="2043143327"/>
      </c:barChart>
      <c:catAx>
        <c:axId val="204158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43327"/>
        <c:crosses val="autoZero"/>
        <c:auto val="1"/>
        <c:lblAlgn val="ctr"/>
        <c:lblOffset val="100"/>
        <c:noMultiLvlLbl val="0"/>
      </c:catAx>
      <c:valAx>
        <c:axId val="2043143327"/>
        <c:scaling>
          <c:orientation val="minMax"/>
        </c:scaling>
        <c:delete val="1"/>
        <c:axPos val="b"/>
        <c:numFmt formatCode="&quot;₹&quot;\ ##\.##,\ &quot;L&quot;" sourceLinked="1"/>
        <c:majorTickMark val="none"/>
        <c:minorTickMark val="none"/>
        <c:tickLblPos val="nextTo"/>
        <c:crossAx val="2041581247"/>
        <c:crosses val="autoZero"/>
        <c:crossBetween val="between"/>
      </c:valAx>
      <c:spPr>
        <a:noFill/>
        <a:ln>
          <a:noFill/>
        </a:ln>
        <a:effectLst>
          <a:glow rad="63500">
            <a:schemeClr val="accent6">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 Sales person</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399151126209173E-2"/>
          <c:y val="0"/>
          <c:w val="0.97860084887379084"/>
          <c:h val="0.75532561371005091"/>
        </c:manualLayout>
      </c:layout>
      <c:bar3DChart>
        <c:barDir val="col"/>
        <c:grouping val="clustered"/>
        <c:varyColors val="0"/>
        <c:ser>
          <c:idx val="0"/>
          <c:order val="0"/>
          <c:tx>
            <c:strRef>
              <c:f>'Pivot tables'!$H$3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 ##\.##,\ "L"</c:formatCode>
                <c:ptCount val="10"/>
                <c:pt idx="0">
                  <c:v>615600</c:v>
                </c:pt>
                <c:pt idx="1">
                  <c:v>268600</c:v>
                </c:pt>
                <c:pt idx="2">
                  <c:v>357000</c:v>
                </c:pt>
                <c:pt idx="3">
                  <c:v>1141200</c:v>
                </c:pt>
                <c:pt idx="4">
                  <c:v>1638000</c:v>
                </c:pt>
                <c:pt idx="5">
                  <c:v>739200</c:v>
                </c:pt>
                <c:pt idx="6">
                  <c:v>1028000</c:v>
                </c:pt>
                <c:pt idx="7">
                  <c:v>586200</c:v>
                </c:pt>
                <c:pt idx="8">
                  <c:v>515000</c:v>
                </c:pt>
                <c:pt idx="9">
                  <c:v>78000</c:v>
                </c:pt>
              </c:numCache>
            </c:numRef>
          </c:val>
          <c:shape val="pyramidToMax"/>
          <c:extLst>
            <c:ext xmlns:c16="http://schemas.microsoft.com/office/drawing/2014/chart" uri="{C3380CC4-5D6E-409C-BE32-E72D297353CC}">
              <c16:uniqueId val="{00000000-6609-4C73-BCBD-6352FDE0F8EF}"/>
            </c:ext>
          </c:extLst>
        </c:ser>
        <c:dLbls>
          <c:showLegendKey val="0"/>
          <c:showVal val="1"/>
          <c:showCatName val="0"/>
          <c:showSerName val="0"/>
          <c:showPercent val="0"/>
          <c:showBubbleSize val="0"/>
        </c:dLbls>
        <c:gapWidth val="82"/>
        <c:shape val="box"/>
        <c:axId val="2117821695"/>
        <c:axId val="2117821215"/>
        <c:axId val="0"/>
      </c:bar3DChart>
      <c:catAx>
        <c:axId val="211782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21215"/>
        <c:crosses val="autoZero"/>
        <c:auto val="1"/>
        <c:lblAlgn val="ctr"/>
        <c:lblOffset val="100"/>
        <c:noMultiLvlLbl val="0"/>
      </c:catAx>
      <c:valAx>
        <c:axId val="2117821215"/>
        <c:scaling>
          <c:orientation val="minMax"/>
        </c:scaling>
        <c:delete val="1"/>
        <c:axPos val="l"/>
        <c:numFmt formatCode="&quot;₹&quot;\ ##\.##,\ &quot;L&quot;" sourceLinked="1"/>
        <c:majorTickMark val="none"/>
        <c:minorTickMark val="none"/>
        <c:tickLblPos val="nextTo"/>
        <c:crossAx val="21178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chart" Target="../charts/chart8.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206374</xdr:colOff>
      <xdr:row>31</xdr:row>
      <xdr:rowOff>127000</xdr:rowOff>
    </xdr:from>
    <xdr:to>
      <xdr:col>3</xdr:col>
      <xdr:colOff>492124</xdr:colOff>
      <xdr:row>51</xdr:row>
      <xdr:rowOff>158750</xdr:rowOff>
    </xdr:to>
    <xdr:graphicFrame macro="">
      <xdr:nvGraphicFramePr>
        <xdr:cNvPr id="2" name="Chart 1">
          <a:extLst>
            <a:ext uri="{FF2B5EF4-FFF2-40B4-BE49-F238E27FC236}">
              <a16:creationId xmlns:a16="http://schemas.microsoft.com/office/drawing/2014/main" id="{8E8A0784-6854-D8A2-DB9A-459AE6F92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1267264</xdr:colOff>
      <xdr:row>31</xdr:row>
      <xdr:rowOff>15875</xdr:rowOff>
    </xdr:from>
    <xdr:to>
      <xdr:col>7</xdr:col>
      <xdr:colOff>730250</xdr:colOff>
      <xdr:row>51</xdr:row>
      <xdr:rowOff>142874</xdr:rowOff>
    </xdr:to>
    <xdr:graphicFrame macro="">
      <xdr:nvGraphicFramePr>
        <xdr:cNvPr id="4" name="Chart 3">
          <a:extLst>
            <a:ext uri="{FF2B5EF4-FFF2-40B4-BE49-F238E27FC236}">
              <a16:creationId xmlns:a16="http://schemas.microsoft.com/office/drawing/2014/main" id="{EA0B065C-DE91-825C-D089-45B842CB1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1033812</xdr:colOff>
      <xdr:row>29</xdr:row>
      <xdr:rowOff>108802</xdr:rowOff>
    </xdr:from>
    <xdr:to>
      <xdr:col>17</xdr:col>
      <xdr:colOff>79375</xdr:colOff>
      <xdr:row>50</xdr:row>
      <xdr:rowOff>0</xdr:rowOff>
    </xdr:to>
    <xdr:graphicFrame macro="">
      <xdr:nvGraphicFramePr>
        <xdr:cNvPr id="5" name="Chart 4">
          <a:extLst>
            <a:ext uri="{FF2B5EF4-FFF2-40B4-BE49-F238E27FC236}">
              <a16:creationId xmlns:a16="http://schemas.microsoft.com/office/drawing/2014/main" id="{C3D07F40-61C4-31CB-34C4-4706851E9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412750</xdr:colOff>
      <xdr:row>10</xdr:row>
      <xdr:rowOff>31751</xdr:rowOff>
    </xdr:from>
    <xdr:to>
      <xdr:col>16</xdr:col>
      <xdr:colOff>508000</xdr:colOff>
      <xdr:row>28</xdr:row>
      <xdr:rowOff>142875</xdr:rowOff>
    </xdr:to>
    <xdr:graphicFrame macro="">
      <xdr:nvGraphicFramePr>
        <xdr:cNvPr id="3" name="Chart 2">
          <a:extLst>
            <a:ext uri="{FF2B5EF4-FFF2-40B4-BE49-F238E27FC236}">
              <a16:creationId xmlns:a16="http://schemas.microsoft.com/office/drawing/2014/main" id="{5934299C-58E5-35F7-48B6-4EDDE3D9D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1212850</xdr:colOff>
      <xdr:row>16</xdr:row>
      <xdr:rowOff>53975</xdr:rowOff>
    </xdr:from>
    <xdr:to>
      <xdr:col>5</xdr:col>
      <xdr:colOff>25400</xdr:colOff>
      <xdr:row>29</xdr:row>
      <xdr:rowOff>101600</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565F1E8A-E46D-4235-8307-E05DBCC796B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451475" y="3101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339724</xdr:colOff>
      <xdr:row>2</xdr:row>
      <xdr:rowOff>6351</xdr:rowOff>
    </xdr:from>
    <xdr:to>
      <xdr:col>17</xdr:col>
      <xdr:colOff>412750</xdr:colOff>
      <xdr:row>6</xdr:row>
      <xdr:rowOff>79375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A6A9652-EC4F-2EE8-6D69-DD30601258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14099" y="387351"/>
              <a:ext cx="5502276" cy="835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xdr:colOff>
      <xdr:row>16</xdr:row>
      <xdr:rowOff>38100</xdr:rowOff>
    </xdr:from>
    <xdr:to>
      <xdr:col>7</xdr:col>
      <xdr:colOff>565150</xdr:colOff>
      <xdr:row>29</xdr:row>
      <xdr:rowOff>85725</xdr:rowOff>
    </xdr:to>
    <mc:AlternateContent xmlns:mc="http://schemas.openxmlformats.org/markup-compatibility/2006" xmlns:a14="http://schemas.microsoft.com/office/drawing/2010/main">
      <mc:Choice Requires="a14">
        <xdr:graphicFrame macro="">
          <xdr:nvGraphicFramePr>
            <xdr:cNvPr id="8" name="Products">
              <a:extLst>
                <a:ext uri="{FF2B5EF4-FFF2-40B4-BE49-F238E27FC236}">
                  <a16:creationId xmlns:a16="http://schemas.microsoft.com/office/drawing/2014/main" id="{C96DBA8A-BBD0-2831-BBEB-7B352BC2B3DF}"/>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7912100" y="308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31092</xdr:colOff>
      <xdr:row>0</xdr:row>
      <xdr:rowOff>38100</xdr:rowOff>
    </xdr:from>
    <xdr:to>
      <xdr:col>20</xdr:col>
      <xdr:colOff>439092</xdr:colOff>
      <xdr:row>4</xdr:row>
      <xdr:rowOff>104100</xdr:rowOff>
    </xdr:to>
    <xdr:sp macro="" textlink="">
      <xdr:nvSpPr>
        <xdr:cNvPr id="2" name="Rectangle: Rounded Corners 1">
          <a:extLst>
            <a:ext uri="{FF2B5EF4-FFF2-40B4-BE49-F238E27FC236}">
              <a16:creationId xmlns:a16="http://schemas.microsoft.com/office/drawing/2014/main" id="{B8D3E094-08CB-CDEB-46DD-35FA9A461164}"/>
            </a:ext>
          </a:extLst>
        </xdr:cNvPr>
        <xdr:cNvSpPr/>
      </xdr:nvSpPr>
      <xdr:spPr>
        <a:xfrm>
          <a:off x="31092" y="38100"/>
          <a:ext cx="12570692"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0</xdr:col>
      <xdr:colOff>56816</xdr:colOff>
      <xdr:row>4</xdr:row>
      <xdr:rowOff>188912</xdr:rowOff>
    </xdr:from>
    <xdr:to>
      <xdr:col>3</xdr:col>
      <xdr:colOff>479066</xdr:colOff>
      <xdr:row>9</xdr:row>
      <xdr:rowOff>65170</xdr:rowOff>
    </xdr:to>
    <xdr:grpSp>
      <xdr:nvGrpSpPr>
        <xdr:cNvPr id="42" name="Group 41">
          <a:extLst>
            <a:ext uri="{FF2B5EF4-FFF2-40B4-BE49-F238E27FC236}">
              <a16:creationId xmlns:a16="http://schemas.microsoft.com/office/drawing/2014/main" id="{1B5521F8-76CD-3D77-0FDA-F25BDC6ED146}"/>
            </a:ext>
          </a:extLst>
        </xdr:cNvPr>
        <xdr:cNvGrpSpPr/>
      </xdr:nvGrpSpPr>
      <xdr:grpSpPr>
        <a:xfrm>
          <a:off x="56816" y="961209"/>
          <a:ext cx="2237149" cy="841630"/>
          <a:chOff x="48878" y="950913"/>
          <a:chExt cx="2361902" cy="828758"/>
        </a:xfrm>
        <a:effectLst/>
      </xdr:grpSpPr>
      <xdr:sp macro="" textlink="">
        <xdr:nvSpPr>
          <xdr:cNvPr id="38" name="Rectangle: Rounded Corners 37">
            <a:extLst>
              <a:ext uri="{FF2B5EF4-FFF2-40B4-BE49-F238E27FC236}">
                <a16:creationId xmlns:a16="http://schemas.microsoft.com/office/drawing/2014/main" id="{59476DB4-1F50-AFE5-EDA7-5C9F76D757C5}"/>
              </a:ext>
            </a:extLst>
          </xdr:cNvPr>
          <xdr:cNvSpPr/>
        </xdr:nvSpPr>
        <xdr:spPr>
          <a:xfrm>
            <a:off x="54905" y="950913"/>
            <a:ext cx="2355875"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sp macro="" textlink="">
        <xdr:nvSpPr>
          <xdr:cNvPr id="39" name="Rectangle: Rounded Corners 38">
            <a:extLst>
              <a:ext uri="{FF2B5EF4-FFF2-40B4-BE49-F238E27FC236}">
                <a16:creationId xmlns:a16="http://schemas.microsoft.com/office/drawing/2014/main" id="{07690C0E-5C26-97C8-741E-E62A94A745E3}"/>
              </a:ext>
            </a:extLst>
          </xdr:cNvPr>
          <xdr:cNvSpPr/>
        </xdr:nvSpPr>
        <xdr:spPr>
          <a:xfrm>
            <a:off x="48878" y="952500"/>
            <a:ext cx="692652" cy="827171"/>
          </a:xfrm>
          <a:prstGeom prst="roundRect">
            <a:avLst/>
          </a:prstGeom>
          <a:solidFill>
            <a:srgbClr val="07B56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14B158A7-F41F-69BA-997D-8322ABB8D73D}"/>
              </a:ext>
            </a:extLst>
          </xdr:cNvPr>
          <xdr:cNvSpPr txBox="1"/>
        </xdr:nvSpPr>
        <xdr:spPr>
          <a:xfrm>
            <a:off x="946779" y="1007506"/>
            <a:ext cx="12010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88E8C"/>
                </a:solidFill>
              </a:rPr>
              <a:t>TOTAL SALES</a:t>
            </a:r>
          </a:p>
        </xdr:txBody>
      </xdr:sp>
      <xdr:sp macro="" textlink="'Sales data'!L12">
        <xdr:nvSpPr>
          <xdr:cNvPr id="41" name="TextBox 40">
            <a:extLst>
              <a:ext uri="{FF2B5EF4-FFF2-40B4-BE49-F238E27FC236}">
                <a16:creationId xmlns:a16="http://schemas.microsoft.com/office/drawing/2014/main" id="{99AA91C5-898B-6183-C6F4-54B7B7B2596D}"/>
              </a:ext>
            </a:extLst>
          </xdr:cNvPr>
          <xdr:cNvSpPr txBox="1"/>
        </xdr:nvSpPr>
        <xdr:spPr>
          <a:xfrm>
            <a:off x="902938" y="1330715"/>
            <a:ext cx="1147648" cy="305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5609C63-7546-4C41-B4F4-649529F8D50F}" type="TxLink">
              <a:rPr lang="en-US" sz="1600" b="1" i="0" u="none" strike="noStrike">
                <a:solidFill>
                  <a:srgbClr val="288E8C"/>
                </a:solidFill>
                <a:latin typeface="Calibri"/>
                <a:ea typeface="Calibri"/>
                <a:cs typeface="Calibri"/>
              </a:rPr>
              <a:pPr/>
              <a:t> 69,66,800 </a:t>
            </a:fld>
            <a:endParaRPr lang="en-US" sz="1600" b="1">
              <a:solidFill>
                <a:srgbClr val="288E8C"/>
              </a:solidFill>
            </a:endParaRPr>
          </a:p>
        </xdr:txBody>
      </xdr:sp>
    </xdr:grpSp>
    <xdr:clientData/>
  </xdr:twoCellAnchor>
  <xdr:twoCellAnchor editAs="oneCell">
    <xdr:from>
      <xdr:col>0</xdr:col>
      <xdr:colOff>111125</xdr:colOff>
      <xdr:row>22</xdr:row>
      <xdr:rowOff>31751</xdr:rowOff>
    </xdr:from>
    <xdr:to>
      <xdr:col>3</xdr:col>
      <xdr:colOff>118269</xdr:colOff>
      <xdr:row>39</xdr:row>
      <xdr:rowOff>42333</xdr:rowOff>
    </xdr:to>
    <mc:AlternateContent xmlns:mc="http://schemas.openxmlformats.org/markup-compatibility/2006" xmlns:a14="http://schemas.microsoft.com/office/drawing/2010/main">
      <mc:Choice Requires="a14">
        <xdr:graphicFrame macro="">
          <xdr:nvGraphicFramePr>
            <xdr:cNvPr id="62" name="Sales person 1">
              <a:extLst>
                <a:ext uri="{FF2B5EF4-FFF2-40B4-BE49-F238E27FC236}">
                  <a16:creationId xmlns:a16="http://schemas.microsoft.com/office/drawing/2014/main" id="{CE1606EA-B7CD-4FB4-8E20-8FE455BD904C}"/>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11125" y="4222751"/>
              <a:ext cx="1848644" cy="3249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10</xdr:row>
      <xdr:rowOff>0</xdr:rowOff>
    </xdr:from>
    <xdr:to>
      <xdr:col>3</xdr:col>
      <xdr:colOff>102394</xdr:colOff>
      <xdr:row>22</xdr:row>
      <xdr:rowOff>15875</xdr:rowOff>
    </xdr:to>
    <mc:AlternateContent xmlns:mc="http://schemas.openxmlformats.org/markup-compatibility/2006" xmlns:a14="http://schemas.microsoft.com/office/drawing/2010/main">
      <mc:Choice Requires="a14">
        <xdr:graphicFrame macro="">
          <xdr:nvGraphicFramePr>
            <xdr:cNvPr id="63" name="Products 1">
              <a:extLst>
                <a:ext uri="{FF2B5EF4-FFF2-40B4-BE49-F238E27FC236}">
                  <a16:creationId xmlns:a16="http://schemas.microsoft.com/office/drawing/2014/main" id="{9093A457-24B3-49E2-B212-2ECC74997606}"/>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95250" y="1905000"/>
              <a:ext cx="1848644" cy="230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160359</xdr:colOff>
      <xdr:row>10</xdr:row>
      <xdr:rowOff>0</xdr:rowOff>
    </xdr:from>
    <xdr:to>
      <xdr:col>13</xdr:col>
      <xdr:colOff>19050</xdr:colOff>
      <xdr:row>27</xdr:row>
      <xdr:rowOff>38100</xdr:rowOff>
    </xdr:to>
    <xdr:sp macro="" textlink="">
      <xdr:nvSpPr>
        <xdr:cNvPr id="64" name="Rectangle: Rounded Corners 63">
          <a:extLst>
            <a:ext uri="{FF2B5EF4-FFF2-40B4-BE49-F238E27FC236}">
              <a16:creationId xmlns:a16="http://schemas.microsoft.com/office/drawing/2014/main" id="{A0FAAD26-6CFF-2FD4-8CB9-70E9BA33B166}"/>
            </a:ext>
          </a:extLst>
        </xdr:cNvPr>
        <xdr:cNvSpPr/>
      </xdr:nvSpPr>
      <xdr:spPr>
        <a:xfrm>
          <a:off x="1989159" y="1905000"/>
          <a:ext cx="5954691" cy="3276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t>s</a:t>
          </a:r>
          <a:r>
            <a:rPr lang="en-US" sz="1200" b="0">
              <a:solidFill>
                <a:srgbClr val="008986"/>
              </a:solidFill>
            </a:rPr>
            <a:t>Unit sold by Product</a:t>
          </a:r>
          <a:endParaRPr lang="en-US" sz="1200" b="0"/>
        </a:p>
      </xdr:txBody>
    </xdr:sp>
    <xdr:clientData/>
  </xdr:twoCellAnchor>
  <xdr:twoCellAnchor>
    <xdr:from>
      <xdr:col>3</xdr:col>
      <xdr:colOff>533065</xdr:colOff>
      <xdr:row>4</xdr:row>
      <xdr:rowOff>188912</xdr:rowOff>
    </xdr:from>
    <xdr:to>
      <xdr:col>7</xdr:col>
      <xdr:colOff>344128</xdr:colOff>
      <xdr:row>9</xdr:row>
      <xdr:rowOff>65170</xdr:rowOff>
    </xdr:to>
    <xdr:grpSp>
      <xdr:nvGrpSpPr>
        <xdr:cNvPr id="65" name="Group 64">
          <a:extLst>
            <a:ext uri="{FF2B5EF4-FFF2-40B4-BE49-F238E27FC236}">
              <a16:creationId xmlns:a16="http://schemas.microsoft.com/office/drawing/2014/main" id="{5743E801-777B-D5C6-1184-103A790FD376}"/>
            </a:ext>
          </a:extLst>
        </xdr:cNvPr>
        <xdr:cNvGrpSpPr/>
      </xdr:nvGrpSpPr>
      <xdr:grpSpPr>
        <a:xfrm>
          <a:off x="2347964" y="961209"/>
          <a:ext cx="2230928" cy="841630"/>
          <a:chOff x="48878" y="950913"/>
          <a:chExt cx="2361902" cy="828758"/>
        </a:xfrm>
      </xdr:grpSpPr>
      <xdr:sp macro="" textlink="">
        <xdr:nvSpPr>
          <xdr:cNvPr id="66" name="Rectangle: Rounded Corners 65">
            <a:extLst>
              <a:ext uri="{FF2B5EF4-FFF2-40B4-BE49-F238E27FC236}">
                <a16:creationId xmlns:a16="http://schemas.microsoft.com/office/drawing/2014/main" id="{9EBE11DF-34EF-84F0-577E-A89C345876D8}"/>
              </a:ext>
            </a:extLst>
          </xdr:cNvPr>
          <xdr:cNvSpPr/>
        </xdr:nvSpPr>
        <xdr:spPr>
          <a:xfrm>
            <a:off x="54905" y="950913"/>
            <a:ext cx="2355875"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sp macro="" textlink="">
        <xdr:nvSpPr>
          <xdr:cNvPr id="67" name="Rectangle: Rounded Corners 66">
            <a:extLst>
              <a:ext uri="{FF2B5EF4-FFF2-40B4-BE49-F238E27FC236}">
                <a16:creationId xmlns:a16="http://schemas.microsoft.com/office/drawing/2014/main" id="{5087DD85-8C62-47C3-A7BE-0A7DC2441F58}"/>
              </a:ext>
            </a:extLst>
          </xdr:cNvPr>
          <xdr:cNvSpPr/>
        </xdr:nvSpPr>
        <xdr:spPr>
          <a:xfrm>
            <a:off x="48878" y="952500"/>
            <a:ext cx="692652" cy="827171"/>
          </a:xfrm>
          <a:prstGeom prst="roundRect">
            <a:avLst/>
          </a:prstGeom>
          <a:solidFill>
            <a:srgbClr val="07B56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F0FEFFA5-8789-1355-AC3A-744184A0EF26}"/>
              </a:ext>
            </a:extLst>
          </xdr:cNvPr>
          <xdr:cNvSpPr txBox="1"/>
        </xdr:nvSpPr>
        <xdr:spPr>
          <a:xfrm>
            <a:off x="946780" y="1007506"/>
            <a:ext cx="14398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88E8C"/>
                </a:solidFill>
              </a:rPr>
              <a:t>AVERAGE</a:t>
            </a:r>
            <a:r>
              <a:rPr lang="en-US" sz="1400" b="1" baseline="0">
                <a:solidFill>
                  <a:srgbClr val="288E8C"/>
                </a:solidFill>
              </a:rPr>
              <a:t> SALES</a:t>
            </a:r>
            <a:endParaRPr lang="en-US" sz="1400" b="1">
              <a:solidFill>
                <a:srgbClr val="288E8C"/>
              </a:solidFill>
            </a:endParaRPr>
          </a:p>
        </xdr:txBody>
      </xdr:sp>
      <xdr:sp macro="" textlink="'Sales data'!N16">
        <xdr:nvSpPr>
          <xdr:cNvPr id="69" name="TextBox 68">
            <a:extLst>
              <a:ext uri="{FF2B5EF4-FFF2-40B4-BE49-F238E27FC236}">
                <a16:creationId xmlns:a16="http://schemas.microsoft.com/office/drawing/2014/main" id="{C34BE7CF-FFEB-2E85-20C6-6E3EDB5AC4EC}"/>
              </a:ext>
            </a:extLst>
          </xdr:cNvPr>
          <xdr:cNvSpPr txBox="1"/>
        </xdr:nvSpPr>
        <xdr:spPr>
          <a:xfrm>
            <a:off x="902976" y="1298965"/>
            <a:ext cx="1005793" cy="309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7EC3D0D-53AF-429C-BAA8-B998646E8334}" type="TxLink">
              <a:rPr lang="en-US" sz="1600" b="1" i="0" u="none" strike="noStrike">
                <a:solidFill>
                  <a:srgbClr val="288E8C"/>
                </a:solidFill>
                <a:latin typeface="Calibri"/>
                <a:ea typeface="Calibri"/>
                <a:cs typeface="Calibri"/>
              </a:rPr>
              <a:pPr/>
              <a:t> 3,02,904 </a:t>
            </a:fld>
            <a:endParaRPr lang="en-US" sz="1600" b="1" i="0" u="none" strike="noStrike">
              <a:solidFill>
                <a:srgbClr val="288E8C"/>
              </a:solidFill>
              <a:latin typeface="Calibri"/>
              <a:ea typeface="Calibri"/>
              <a:cs typeface="Calibri"/>
            </a:endParaRPr>
          </a:p>
        </xdr:txBody>
      </xdr:sp>
    </xdr:grpSp>
    <xdr:clientData/>
  </xdr:twoCellAnchor>
  <xdr:twoCellAnchor>
    <xdr:from>
      <xdr:col>7</xdr:col>
      <xdr:colOff>390190</xdr:colOff>
      <xdr:row>4</xdr:row>
      <xdr:rowOff>180974</xdr:rowOff>
    </xdr:from>
    <xdr:to>
      <xdr:col>11</xdr:col>
      <xdr:colOff>201253</xdr:colOff>
      <xdr:row>9</xdr:row>
      <xdr:rowOff>57232</xdr:rowOff>
    </xdr:to>
    <xdr:grpSp>
      <xdr:nvGrpSpPr>
        <xdr:cNvPr id="70" name="Group 69">
          <a:extLst>
            <a:ext uri="{FF2B5EF4-FFF2-40B4-BE49-F238E27FC236}">
              <a16:creationId xmlns:a16="http://schemas.microsoft.com/office/drawing/2014/main" id="{6896ECCB-94EE-0A72-D90A-5DBF774E82E9}"/>
            </a:ext>
          </a:extLst>
        </xdr:cNvPr>
        <xdr:cNvGrpSpPr/>
      </xdr:nvGrpSpPr>
      <xdr:grpSpPr>
        <a:xfrm>
          <a:off x="4624954" y="953271"/>
          <a:ext cx="2230927" cy="841630"/>
          <a:chOff x="48878" y="950913"/>
          <a:chExt cx="2361902" cy="828758"/>
        </a:xfrm>
      </xdr:grpSpPr>
      <xdr:sp macro="" textlink="">
        <xdr:nvSpPr>
          <xdr:cNvPr id="71" name="Rectangle: Rounded Corners 70">
            <a:extLst>
              <a:ext uri="{FF2B5EF4-FFF2-40B4-BE49-F238E27FC236}">
                <a16:creationId xmlns:a16="http://schemas.microsoft.com/office/drawing/2014/main" id="{0EBC6EF4-36C0-97B9-8F63-72EB18AE26F9}"/>
              </a:ext>
            </a:extLst>
          </xdr:cNvPr>
          <xdr:cNvSpPr/>
        </xdr:nvSpPr>
        <xdr:spPr>
          <a:xfrm>
            <a:off x="54905" y="950913"/>
            <a:ext cx="2355875"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sp macro="" textlink="">
        <xdr:nvSpPr>
          <xdr:cNvPr id="72" name="Rectangle: Rounded Corners 71">
            <a:extLst>
              <a:ext uri="{FF2B5EF4-FFF2-40B4-BE49-F238E27FC236}">
                <a16:creationId xmlns:a16="http://schemas.microsoft.com/office/drawing/2014/main" id="{E3FF9218-C22B-050F-5065-CA8F8184DDCB}"/>
              </a:ext>
            </a:extLst>
          </xdr:cNvPr>
          <xdr:cNvSpPr/>
        </xdr:nvSpPr>
        <xdr:spPr>
          <a:xfrm>
            <a:off x="48878" y="952500"/>
            <a:ext cx="692652" cy="827171"/>
          </a:xfrm>
          <a:prstGeom prst="roundRect">
            <a:avLst/>
          </a:prstGeom>
          <a:solidFill>
            <a:srgbClr val="07B56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TextBox 72">
            <a:extLst>
              <a:ext uri="{FF2B5EF4-FFF2-40B4-BE49-F238E27FC236}">
                <a16:creationId xmlns:a16="http://schemas.microsoft.com/office/drawing/2014/main" id="{C1707E54-3CFF-EC3F-B91C-EA29640502C3}"/>
              </a:ext>
            </a:extLst>
          </xdr:cNvPr>
          <xdr:cNvSpPr txBox="1"/>
        </xdr:nvSpPr>
        <xdr:spPr>
          <a:xfrm>
            <a:off x="946780" y="1007506"/>
            <a:ext cx="11230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88E8C"/>
                </a:solidFill>
              </a:rPr>
              <a:t>UNITS</a:t>
            </a:r>
            <a:r>
              <a:rPr lang="en-US" sz="1400" b="1" baseline="0">
                <a:solidFill>
                  <a:srgbClr val="288E8C"/>
                </a:solidFill>
              </a:rPr>
              <a:t> SOLD</a:t>
            </a:r>
            <a:endParaRPr lang="en-US" sz="1400" b="1">
              <a:solidFill>
                <a:srgbClr val="288E8C"/>
              </a:solidFill>
            </a:endParaRPr>
          </a:p>
        </xdr:txBody>
      </xdr:sp>
      <xdr:sp macro="" textlink="'Sales data'!L15">
        <xdr:nvSpPr>
          <xdr:cNvPr id="74" name="TextBox 73">
            <a:extLst>
              <a:ext uri="{FF2B5EF4-FFF2-40B4-BE49-F238E27FC236}">
                <a16:creationId xmlns:a16="http://schemas.microsoft.com/office/drawing/2014/main" id="{06E4F0BB-E377-EAC9-C740-3F4B0B925F3B}"/>
              </a:ext>
            </a:extLst>
          </xdr:cNvPr>
          <xdr:cNvSpPr txBox="1"/>
        </xdr:nvSpPr>
        <xdr:spPr>
          <a:xfrm>
            <a:off x="969152" y="1309548"/>
            <a:ext cx="735574" cy="305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8A7CB4F-2C61-4B80-9043-330D9296E853}" type="TxLink">
              <a:rPr lang="en-US" sz="1600" b="1" i="0" u="none" strike="noStrike">
                <a:solidFill>
                  <a:srgbClr val="288E8C"/>
                </a:solidFill>
                <a:latin typeface="Calibri"/>
                <a:ea typeface="Calibri"/>
                <a:cs typeface="Calibri"/>
              </a:rPr>
              <a:pPr/>
              <a:t>2230</a:t>
            </a:fld>
            <a:endParaRPr lang="en-US" sz="1600" b="1" i="0" u="none" strike="noStrike">
              <a:solidFill>
                <a:srgbClr val="288E8C"/>
              </a:solidFill>
              <a:latin typeface="Calibri"/>
              <a:ea typeface="Calibri"/>
              <a:cs typeface="Calibri"/>
            </a:endParaRPr>
          </a:p>
        </xdr:txBody>
      </xdr:sp>
    </xdr:grpSp>
    <xdr:clientData/>
  </xdr:twoCellAnchor>
  <xdr:twoCellAnchor>
    <xdr:from>
      <xdr:col>11</xdr:col>
      <xdr:colOff>275890</xdr:colOff>
      <xdr:row>5</xdr:row>
      <xdr:rowOff>7935</xdr:rowOff>
    </xdr:from>
    <xdr:to>
      <xdr:col>15</xdr:col>
      <xdr:colOff>86953</xdr:colOff>
      <xdr:row>9</xdr:row>
      <xdr:rowOff>74693</xdr:rowOff>
    </xdr:to>
    <xdr:grpSp>
      <xdr:nvGrpSpPr>
        <xdr:cNvPr id="75" name="Group 74">
          <a:extLst>
            <a:ext uri="{FF2B5EF4-FFF2-40B4-BE49-F238E27FC236}">
              <a16:creationId xmlns:a16="http://schemas.microsoft.com/office/drawing/2014/main" id="{8FC02E67-9E63-62CC-17C2-858F413E6D4D}"/>
            </a:ext>
          </a:extLst>
        </xdr:cNvPr>
        <xdr:cNvGrpSpPr/>
      </xdr:nvGrpSpPr>
      <xdr:grpSpPr>
        <a:xfrm>
          <a:off x="6930518" y="973307"/>
          <a:ext cx="2230928" cy="839055"/>
          <a:chOff x="48878" y="950913"/>
          <a:chExt cx="2361902" cy="828758"/>
        </a:xfrm>
      </xdr:grpSpPr>
      <xdr:sp macro="" textlink="">
        <xdr:nvSpPr>
          <xdr:cNvPr id="76" name="Rectangle: Rounded Corners 75">
            <a:extLst>
              <a:ext uri="{FF2B5EF4-FFF2-40B4-BE49-F238E27FC236}">
                <a16:creationId xmlns:a16="http://schemas.microsoft.com/office/drawing/2014/main" id="{09A83A2C-4B76-9691-EF0D-E36EDBEFAC84}"/>
              </a:ext>
            </a:extLst>
          </xdr:cNvPr>
          <xdr:cNvSpPr/>
        </xdr:nvSpPr>
        <xdr:spPr>
          <a:xfrm>
            <a:off x="54905" y="950913"/>
            <a:ext cx="2355875"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sp macro="" textlink="">
        <xdr:nvSpPr>
          <xdr:cNvPr id="77" name="Rectangle: Rounded Corners 76">
            <a:extLst>
              <a:ext uri="{FF2B5EF4-FFF2-40B4-BE49-F238E27FC236}">
                <a16:creationId xmlns:a16="http://schemas.microsoft.com/office/drawing/2014/main" id="{694E2EA0-F994-4B14-4F92-1F8617A70E90}"/>
              </a:ext>
            </a:extLst>
          </xdr:cNvPr>
          <xdr:cNvSpPr/>
        </xdr:nvSpPr>
        <xdr:spPr>
          <a:xfrm>
            <a:off x="48878" y="952500"/>
            <a:ext cx="692652" cy="827171"/>
          </a:xfrm>
          <a:prstGeom prst="roundRect">
            <a:avLst/>
          </a:prstGeom>
          <a:solidFill>
            <a:srgbClr val="07B56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B7CDE5CD-A775-9951-DBE5-3F52789AC455}"/>
              </a:ext>
            </a:extLst>
          </xdr:cNvPr>
          <xdr:cNvSpPr txBox="1"/>
        </xdr:nvSpPr>
        <xdr:spPr>
          <a:xfrm>
            <a:off x="946780" y="1007506"/>
            <a:ext cx="7522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88E8C"/>
                </a:solidFill>
              </a:rPr>
              <a:t>PROFIT</a:t>
            </a:r>
          </a:p>
        </xdr:txBody>
      </xdr:sp>
      <xdr:sp macro="" textlink="'Sales data'!L19">
        <xdr:nvSpPr>
          <xdr:cNvPr id="79" name="TextBox 78">
            <a:extLst>
              <a:ext uri="{FF2B5EF4-FFF2-40B4-BE49-F238E27FC236}">
                <a16:creationId xmlns:a16="http://schemas.microsoft.com/office/drawing/2014/main" id="{A4268AB0-806F-63A9-03B5-5DDD7BAADAE3}"/>
              </a:ext>
            </a:extLst>
          </xdr:cNvPr>
          <xdr:cNvSpPr txBox="1"/>
        </xdr:nvSpPr>
        <xdr:spPr>
          <a:xfrm>
            <a:off x="891944" y="1288382"/>
            <a:ext cx="1147648" cy="305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D61CF0C-4393-4968-AEB1-0241B5E28FAE}" type="TxLink">
              <a:rPr lang="en-US" sz="1600" b="1" i="0" u="none" strike="noStrike">
                <a:solidFill>
                  <a:srgbClr val="008986"/>
                </a:solidFill>
                <a:latin typeface="Calibri"/>
                <a:ea typeface="Calibri"/>
                <a:cs typeface="Calibri"/>
              </a:rPr>
              <a:pPr/>
              <a:t> 23,12,460 </a:t>
            </a:fld>
            <a:endParaRPr lang="en-US" sz="1600" b="1" i="0" u="none" strike="noStrike">
              <a:solidFill>
                <a:srgbClr val="008986"/>
              </a:solidFill>
              <a:latin typeface="Calibri"/>
              <a:ea typeface="Calibri"/>
              <a:cs typeface="Calibri"/>
            </a:endParaRPr>
          </a:p>
        </xdr:txBody>
      </xdr:sp>
    </xdr:grpSp>
    <xdr:clientData/>
  </xdr:twoCellAnchor>
  <xdr:twoCellAnchor>
    <xdr:from>
      <xdr:col>3</xdr:col>
      <xdr:colOff>390525</xdr:colOff>
      <xdr:row>11</xdr:row>
      <xdr:rowOff>8659</xdr:rowOff>
    </xdr:from>
    <xdr:to>
      <xdr:col>12</xdr:col>
      <xdr:colOff>317500</xdr:colOff>
      <xdr:row>26</xdr:row>
      <xdr:rowOff>164523</xdr:rowOff>
    </xdr:to>
    <xdr:graphicFrame macro="">
      <xdr:nvGraphicFramePr>
        <xdr:cNvPr id="86" name="Chart 85">
          <a:extLst>
            <a:ext uri="{FF2B5EF4-FFF2-40B4-BE49-F238E27FC236}">
              <a16:creationId xmlns:a16="http://schemas.microsoft.com/office/drawing/2014/main" id="{53C2622A-38CD-4D6C-A94C-D1C9B2F9A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86277</xdr:colOff>
      <xdr:row>9</xdr:row>
      <xdr:rowOff>136525</xdr:rowOff>
    </xdr:from>
    <xdr:to>
      <xdr:col>20</xdr:col>
      <xdr:colOff>428625</xdr:colOff>
      <xdr:row>27</xdr:row>
      <xdr:rowOff>40821</xdr:rowOff>
    </xdr:to>
    <xdr:sp macro="" textlink="">
      <xdr:nvSpPr>
        <xdr:cNvPr id="87" name="Rectangle: Rounded Corners 86">
          <a:extLst>
            <a:ext uri="{FF2B5EF4-FFF2-40B4-BE49-F238E27FC236}">
              <a16:creationId xmlns:a16="http://schemas.microsoft.com/office/drawing/2014/main" id="{D7815EA6-AB50-865B-F4DD-0F602F76D7E2}"/>
            </a:ext>
          </a:extLst>
        </xdr:cNvPr>
        <xdr:cNvSpPr/>
      </xdr:nvSpPr>
      <xdr:spPr>
        <a:xfrm>
          <a:off x="8046456" y="1851025"/>
          <a:ext cx="4628598" cy="333329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t>
          </a:r>
          <a:r>
            <a:rPr lang="en-US" sz="1200" b="1">
              <a:solidFill>
                <a:srgbClr val="008986"/>
              </a:solidFill>
            </a:rPr>
            <a:t>Unit sold by Region</a:t>
          </a:r>
          <a:endParaRPr lang="en-US" sz="1200" b="1"/>
        </a:p>
      </xdr:txBody>
    </xdr:sp>
    <xdr:clientData/>
  </xdr:twoCellAnchor>
  <xdr:twoCellAnchor>
    <xdr:from>
      <xdr:col>13</xdr:col>
      <xdr:colOff>253999</xdr:colOff>
      <xdr:row>10</xdr:row>
      <xdr:rowOff>155864</xdr:rowOff>
    </xdr:from>
    <xdr:to>
      <xdr:col>20</xdr:col>
      <xdr:colOff>285750</xdr:colOff>
      <xdr:row>26</xdr:row>
      <xdr:rowOff>112568</xdr:rowOff>
    </xdr:to>
    <xdr:graphicFrame macro="">
      <xdr:nvGraphicFramePr>
        <xdr:cNvPr id="88" name="Chart 87">
          <a:extLst>
            <a:ext uri="{FF2B5EF4-FFF2-40B4-BE49-F238E27FC236}">
              <a16:creationId xmlns:a16="http://schemas.microsoft.com/office/drawing/2014/main" id="{B3E9D233-111F-48A8-89C6-EF1217566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138546</xdr:colOff>
      <xdr:row>5</xdr:row>
      <xdr:rowOff>17319</xdr:rowOff>
    </xdr:from>
    <xdr:to>
      <xdr:col>20</xdr:col>
      <xdr:colOff>415637</xdr:colOff>
      <xdr:row>9</xdr:row>
      <xdr:rowOff>43295</xdr:rowOff>
    </xdr:to>
    <mc:AlternateContent xmlns:mc="http://schemas.openxmlformats.org/markup-compatibility/2006" xmlns:a14="http://schemas.microsoft.com/office/drawing/2010/main">
      <mc:Choice Requires="a14">
        <xdr:graphicFrame macro="">
          <xdr:nvGraphicFramePr>
            <xdr:cNvPr id="90" name="Region 1">
              <a:extLst>
                <a:ext uri="{FF2B5EF4-FFF2-40B4-BE49-F238E27FC236}">
                  <a16:creationId xmlns:a16="http://schemas.microsoft.com/office/drawing/2014/main" id="{BA947264-F6BB-47EE-BA84-426681CE21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46046" y="969819"/>
              <a:ext cx="3346258" cy="787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446110</xdr:colOff>
      <xdr:row>27</xdr:row>
      <xdr:rowOff>125865</xdr:rowOff>
    </xdr:from>
    <xdr:to>
      <xdr:col>20</xdr:col>
      <xdr:colOff>416719</xdr:colOff>
      <xdr:row>41</xdr:row>
      <xdr:rowOff>90488</xdr:rowOff>
    </xdr:to>
    <xdr:sp macro="" textlink="">
      <xdr:nvSpPr>
        <xdr:cNvPr id="94" name="Rectangle: Rounded Corners 93">
          <a:extLst>
            <a:ext uri="{FF2B5EF4-FFF2-40B4-BE49-F238E27FC236}">
              <a16:creationId xmlns:a16="http://schemas.microsoft.com/office/drawing/2014/main" id="{34833439-9CDB-9808-EEE5-66D9BB3FFDE0}"/>
            </a:ext>
          </a:extLst>
        </xdr:cNvPr>
        <xdr:cNvSpPr/>
      </xdr:nvSpPr>
      <xdr:spPr>
        <a:xfrm>
          <a:off x="7732735" y="5269365"/>
          <a:ext cx="4828359" cy="263162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t>
          </a:r>
          <a:r>
            <a:rPr lang="en-US" sz="1200" b="1">
              <a:solidFill>
                <a:srgbClr val="008986"/>
              </a:solidFill>
            </a:rPr>
            <a:t>Unit sold by Product</a:t>
          </a:r>
          <a:endParaRPr lang="en-US" sz="1200" b="1"/>
        </a:p>
      </xdr:txBody>
    </xdr:sp>
    <xdr:clientData/>
  </xdr:twoCellAnchor>
  <xdr:twoCellAnchor>
    <xdr:from>
      <xdr:col>3</xdr:col>
      <xdr:colOff>171318</xdr:colOff>
      <xdr:row>27</xdr:row>
      <xdr:rowOff>153193</xdr:rowOff>
    </xdr:from>
    <xdr:to>
      <xdr:col>12</xdr:col>
      <xdr:colOff>357186</xdr:colOff>
      <xdr:row>41</xdr:row>
      <xdr:rowOff>83344</xdr:rowOff>
    </xdr:to>
    <xdr:sp macro="" textlink="">
      <xdr:nvSpPr>
        <xdr:cNvPr id="96" name="Rectangle: Rounded Corners 95">
          <a:extLst>
            <a:ext uri="{FF2B5EF4-FFF2-40B4-BE49-F238E27FC236}">
              <a16:creationId xmlns:a16="http://schemas.microsoft.com/office/drawing/2014/main" id="{BDEC772F-DC3A-1B9F-9CB3-83C008F79354}"/>
            </a:ext>
          </a:extLst>
        </xdr:cNvPr>
        <xdr:cNvSpPr/>
      </xdr:nvSpPr>
      <xdr:spPr>
        <a:xfrm>
          <a:off x="1992974" y="5296693"/>
          <a:ext cx="5650837" cy="25971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t>
          </a:r>
          <a:r>
            <a:rPr lang="en-US" sz="1200" b="1">
              <a:solidFill>
                <a:srgbClr val="008986"/>
              </a:solidFill>
            </a:rPr>
            <a:t>Unit sold by Region</a:t>
          </a:r>
          <a:endParaRPr lang="en-US" sz="1200" b="1"/>
        </a:p>
      </xdr:txBody>
    </xdr:sp>
    <xdr:clientData/>
  </xdr:twoCellAnchor>
  <xdr:twoCellAnchor>
    <xdr:from>
      <xdr:col>13</xdr:col>
      <xdr:colOff>143956</xdr:colOff>
      <xdr:row>29</xdr:row>
      <xdr:rowOff>109630</xdr:rowOff>
    </xdr:from>
    <xdr:to>
      <xdr:col>20</xdr:col>
      <xdr:colOff>221888</xdr:colOff>
      <xdr:row>41</xdr:row>
      <xdr:rowOff>89839</xdr:rowOff>
    </xdr:to>
    <xdr:graphicFrame macro="">
      <xdr:nvGraphicFramePr>
        <xdr:cNvPr id="97" name="Chart 96">
          <a:extLst>
            <a:ext uri="{FF2B5EF4-FFF2-40B4-BE49-F238E27FC236}">
              <a16:creationId xmlns:a16="http://schemas.microsoft.com/office/drawing/2014/main" id="{083F1DD7-9B12-4276-886C-57485455A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500063</xdr:colOff>
      <xdr:row>28</xdr:row>
      <xdr:rowOff>59532</xdr:rowOff>
    </xdr:from>
    <xdr:to>
      <xdr:col>12</xdr:col>
      <xdr:colOff>142876</xdr:colOff>
      <xdr:row>41</xdr:row>
      <xdr:rowOff>47625</xdr:rowOff>
    </xdr:to>
    <xdr:graphicFrame macro="">
      <xdr:nvGraphicFramePr>
        <xdr:cNvPr id="98" name="Chart 97">
          <a:extLst>
            <a:ext uri="{FF2B5EF4-FFF2-40B4-BE49-F238E27FC236}">
              <a16:creationId xmlns:a16="http://schemas.microsoft.com/office/drawing/2014/main" id="{A67A1EA0-DE58-40ED-96B3-9B76EF61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429948</xdr:colOff>
      <xdr:row>0</xdr:row>
      <xdr:rowOff>173303</xdr:rowOff>
    </xdr:from>
    <xdr:ext cx="4333875" cy="583406"/>
    <xdr:sp macro="" textlink="">
      <xdr:nvSpPr>
        <xdr:cNvPr id="99" name="TextBox 98">
          <a:extLst>
            <a:ext uri="{FF2B5EF4-FFF2-40B4-BE49-F238E27FC236}">
              <a16:creationId xmlns:a16="http://schemas.microsoft.com/office/drawing/2014/main" id="{F411A8E3-612E-E06C-BD54-7E19F693F0BD}"/>
            </a:ext>
          </a:extLst>
        </xdr:cNvPr>
        <xdr:cNvSpPr txBox="1"/>
      </xdr:nvSpPr>
      <xdr:spPr>
        <a:xfrm>
          <a:off x="4112948" y="173303"/>
          <a:ext cx="4333875" cy="583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4000" b="1">
              <a:solidFill>
                <a:schemeClr val="accent4">
                  <a:lumMod val="75000"/>
                </a:schemeClr>
              </a:solidFill>
            </a:rPr>
            <a:t>SALES</a:t>
          </a:r>
          <a:r>
            <a:rPr lang="en-US" sz="4000" b="1" baseline="0">
              <a:solidFill>
                <a:schemeClr val="accent4">
                  <a:lumMod val="75000"/>
                </a:schemeClr>
              </a:solidFill>
            </a:rPr>
            <a:t> DASHBOARD</a:t>
          </a:r>
          <a:endParaRPr lang="en-US" sz="4000" b="1">
            <a:solidFill>
              <a:schemeClr val="accent4">
                <a:lumMod val="75000"/>
              </a:schemeClr>
            </a:solidFill>
          </a:endParaRPr>
        </a:p>
      </xdr:txBody>
    </xdr:sp>
    <xdr:clientData/>
  </xdr:oneCellAnchor>
  <xdr:twoCellAnchor editAs="oneCell">
    <xdr:from>
      <xdr:col>3</xdr:col>
      <xdr:colOff>550333</xdr:colOff>
      <xdr:row>5</xdr:row>
      <xdr:rowOff>10584</xdr:rowOff>
    </xdr:from>
    <xdr:to>
      <xdr:col>4</xdr:col>
      <xdr:colOff>550334</xdr:colOff>
      <xdr:row>8</xdr:row>
      <xdr:rowOff>169334</xdr:rowOff>
    </xdr:to>
    <xdr:pic>
      <xdr:nvPicPr>
        <xdr:cNvPr id="105" name="Graphic 104" descr="Money with solid fill">
          <a:extLst>
            <a:ext uri="{FF2B5EF4-FFF2-40B4-BE49-F238E27FC236}">
              <a16:creationId xmlns:a16="http://schemas.microsoft.com/office/drawing/2014/main" id="{0F4F926B-102C-6EA1-A990-5D18BDFD43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91833" y="963084"/>
          <a:ext cx="613834" cy="730250"/>
        </a:xfrm>
        <a:prstGeom prst="rect">
          <a:avLst/>
        </a:prstGeom>
      </xdr:spPr>
    </xdr:pic>
    <xdr:clientData/>
  </xdr:twoCellAnchor>
  <xdr:twoCellAnchor editAs="oneCell">
    <xdr:from>
      <xdr:col>0</xdr:col>
      <xdr:colOff>31750</xdr:colOff>
      <xdr:row>5</xdr:row>
      <xdr:rowOff>74083</xdr:rowOff>
    </xdr:from>
    <xdr:to>
      <xdr:col>1</xdr:col>
      <xdr:colOff>105834</xdr:colOff>
      <xdr:row>9</xdr:row>
      <xdr:rowOff>0</xdr:rowOff>
    </xdr:to>
    <xdr:pic>
      <xdr:nvPicPr>
        <xdr:cNvPr id="107" name="Graphic 106" descr="Coins with solid fill">
          <a:extLst>
            <a:ext uri="{FF2B5EF4-FFF2-40B4-BE49-F238E27FC236}">
              <a16:creationId xmlns:a16="http://schemas.microsoft.com/office/drawing/2014/main" id="{B3C7212C-9CE2-C949-6A78-DBA80801FE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750" y="1026583"/>
          <a:ext cx="687917" cy="687917"/>
        </a:xfrm>
        <a:prstGeom prst="rect">
          <a:avLst/>
        </a:prstGeom>
      </xdr:spPr>
    </xdr:pic>
    <xdr:clientData/>
  </xdr:twoCellAnchor>
  <xdr:twoCellAnchor editAs="oneCell">
    <xdr:from>
      <xdr:col>11</xdr:col>
      <xdr:colOff>285750</xdr:colOff>
      <xdr:row>5</xdr:row>
      <xdr:rowOff>95249</xdr:rowOff>
    </xdr:from>
    <xdr:to>
      <xdr:col>12</xdr:col>
      <xdr:colOff>296333</xdr:colOff>
      <xdr:row>8</xdr:row>
      <xdr:rowOff>148166</xdr:rowOff>
    </xdr:to>
    <xdr:pic>
      <xdr:nvPicPr>
        <xdr:cNvPr id="109" name="Graphic 108" descr="Upward trend with solid fill">
          <a:extLst>
            <a:ext uri="{FF2B5EF4-FFF2-40B4-BE49-F238E27FC236}">
              <a16:creationId xmlns:a16="http://schemas.microsoft.com/office/drawing/2014/main" id="{379A3F8A-4AA4-83E1-A670-8654C07C89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37917" y="1047749"/>
          <a:ext cx="624416" cy="624417"/>
        </a:xfrm>
        <a:prstGeom prst="rect">
          <a:avLst/>
        </a:prstGeom>
      </xdr:spPr>
    </xdr:pic>
    <xdr:clientData/>
  </xdr:twoCellAnchor>
  <xdr:twoCellAnchor editAs="oneCell">
    <xdr:from>
      <xdr:col>7</xdr:col>
      <xdr:colOff>391584</xdr:colOff>
      <xdr:row>5</xdr:row>
      <xdr:rowOff>42332</xdr:rowOff>
    </xdr:from>
    <xdr:to>
      <xdr:col>8</xdr:col>
      <xdr:colOff>455083</xdr:colOff>
      <xdr:row>8</xdr:row>
      <xdr:rowOff>148165</xdr:rowOff>
    </xdr:to>
    <xdr:pic>
      <xdr:nvPicPr>
        <xdr:cNvPr id="111" name="Graphic 110" descr="Bar chart with solid fill">
          <a:extLst>
            <a:ext uri="{FF2B5EF4-FFF2-40B4-BE49-F238E27FC236}">
              <a16:creationId xmlns:a16="http://schemas.microsoft.com/office/drawing/2014/main" id="{A4765A42-9084-B3DA-086A-9779BDB2F7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88417" y="994832"/>
          <a:ext cx="677333" cy="6773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908304050929" createdVersion="8" refreshedVersion="8" minRefreshableVersion="3" recordCount="23" xr:uid="{8F6C9A87-D19C-483E-886F-92D11E3FD3D6}">
  <cacheSource type="worksheet">
    <worksheetSource name="Table1"/>
  </cacheSource>
  <cacheFields count="9">
    <cacheField name="Date" numFmtId="14">
      <sharedItems containsDate="1" containsMixedTypes="1" minDate="2020-01-10T00:00:00" maxDate="2021-10-09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s"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6"/>
    </cacheField>
    <cacheField name="Unit price" numFmtId="3">
      <sharedItems containsSemiMixedTypes="0" containsString="0" containsNumber="1" containsInteger="1" minValue="600" maxValue="10000"/>
    </cacheField>
    <cacheField name="Cost of goods" numFmtId="164">
      <sharedItems containsSemiMixedTypes="0" containsString="0" containsNumber="1" minValue="2.5" maxValue="7000"/>
    </cacheField>
    <cacheField name="Total sales" numFmtId="164">
      <sharedItems containsSemiMixedTypes="0" containsString="0" containsNumber="1" containsInteger="1" minValue="49800" maxValue="1080000"/>
    </cacheField>
    <cacheField name="Profit" numFmtId="164">
      <sharedItems containsSemiMixedTypes="0" containsString="0" containsNumber="1" containsInteger="1" minValue="16600" maxValue="335760"/>
    </cacheField>
  </cacheFields>
  <extLst>
    <ext xmlns:x14="http://schemas.microsoft.com/office/spreadsheetml/2009/9/main" uri="{725AE2AE-9491-48be-B2B4-4EB974FC3084}">
      <x14:pivotCacheDefinition pivotCacheId="986667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19-02-2021"/>
    <x v="0"/>
    <x v="0"/>
    <x v="0"/>
    <n v="84"/>
    <n v="6000"/>
    <n v="4000"/>
    <n v="504000"/>
    <n v="168000"/>
  </r>
  <r>
    <d v="2021-07-09T00:00:00"/>
    <x v="1"/>
    <x v="1"/>
    <x v="1"/>
    <n v="128"/>
    <n v="3500"/>
    <n v="2500"/>
    <n v="448000"/>
    <n v="128000"/>
  </r>
  <r>
    <d v="2021-03-02T00:00:00"/>
    <x v="2"/>
    <x v="2"/>
    <x v="2"/>
    <n v="136"/>
    <n v="1200"/>
    <n v="800"/>
    <n v="163200"/>
    <n v="54400"/>
  </r>
  <r>
    <d v="2020-11-09T00:00:00"/>
    <x v="3"/>
    <x v="3"/>
    <x v="3"/>
    <n v="91"/>
    <n v="1000"/>
    <n v="700"/>
    <n v="91000"/>
    <n v="27300"/>
  </r>
  <r>
    <s v="23-09-2021"/>
    <x v="4"/>
    <x v="0"/>
    <x v="4"/>
    <n v="110"/>
    <n v="4000"/>
    <n v="3000"/>
    <n v="440000"/>
    <n v="110000"/>
  </r>
  <r>
    <d v="2020-01-10T00:00:00"/>
    <x v="5"/>
    <x v="1"/>
    <x v="2"/>
    <n v="51"/>
    <n v="1200"/>
    <n v="800"/>
    <n v="61200"/>
    <n v="20400"/>
  </r>
  <r>
    <d v="2021-05-08T00:00:00"/>
    <x v="6"/>
    <x v="3"/>
    <x v="3"/>
    <n v="78"/>
    <n v="1000"/>
    <n v="700"/>
    <n v="78000"/>
    <n v="23400"/>
  </r>
  <r>
    <d v="2020-06-11T00:00:00"/>
    <x v="7"/>
    <x v="2"/>
    <x v="0"/>
    <n v="146"/>
    <n v="6000"/>
    <n v="4000"/>
    <n v="876000"/>
    <n v="292000"/>
  </r>
  <r>
    <s v="27-01-2021"/>
    <x v="8"/>
    <x v="0"/>
    <x v="5"/>
    <n v="101"/>
    <n v="600"/>
    <n v="400"/>
    <n v="60600"/>
    <n v="20200"/>
  </r>
  <r>
    <d v="2021-03-09T00:00:00"/>
    <x v="9"/>
    <x v="2"/>
    <x v="0"/>
    <n v="52"/>
    <n v="6000"/>
    <n v="4000"/>
    <n v="312000"/>
    <n v="104000"/>
  </r>
  <r>
    <s v="30-09-2021"/>
    <x v="9"/>
    <x v="1"/>
    <x v="2"/>
    <n v="55"/>
    <n v="1200"/>
    <n v="800"/>
    <n v="66000"/>
    <n v="22000"/>
  </r>
  <r>
    <d v="2020-10-09T00:00:00"/>
    <x v="9"/>
    <x v="2"/>
    <x v="3"/>
    <n v="137"/>
    <n v="1000"/>
    <n v="700"/>
    <n v="137000"/>
    <n v="41100"/>
  </r>
  <r>
    <s v="27-07-2021"/>
    <x v="7"/>
    <x v="2"/>
    <x v="1"/>
    <n v="96"/>
    <n v="3500"/>
    <n v="2.5"/>
    <n v="336000"/>
    <n v="335760"/>
  </r>
  <r>
    <d v="2020-09-10T00:00:00"/>
    <x v="8"/>
    <x v="1"/>
    <x v="4"/>
    <n v="52"/>
    <n v="4000"/>
    <n v="3000"/>
    <n v="208000"/>
    <n v="52000"/>
  </r>
  <r>
    <d v="2021-06-04T00:00:00"/>
    <x v="3"/>
    <x v="0"/>
    <x v="1"/>
    <n v="76"/>
    <n v="3500"/>
    <n v="2500"/>
    <n v="266000"/>
    <n v="76000"/>
  </r>
  <r>
    <s v="15-06-2021"/>
    <x v="1"/>
    <x v="3"/>
    <x v="4"/>
    <n v="145"/>
    <n v="4000"/>
    <n v="3000"/>
    <n v="580000"/>
    <n v="145000"/>
  </r>
  <r>
    <d v="2020-09-09T00:00:00"/>
    <x v="0"/>
    <x v="2"/>
    <x v="5"/>
    <n v="83"/>
    <n v="600"/>
    <n v="400"/>
    <n v="49800"/>
    <n v="16600"/>
  </r>
  <r>
    <s v="13-08-2021"/>
    <x v="4"/>
    <x v="2"/>
    <x v="3"/>
    <n v="91"/>
    <n v="1000"/>
    <n v="700"/>
    <n v="91000"/>
    <n v="27300"/>
  </r>
  <r>
    <s v="27-08-2020"/>
    <x v="5"/>
    <x v="0"/>
    <x v="6"/>
    <n v="108"/>
    <n v="10000"/>
    <n v="7000"/>
    <n v="1080000"/>
    <n v="324000"/>
  </r>
  <r>
    <d v="2021-07-04T00:00:00"/>
    <x v="2"/>
    <x v="3"/>
    <x v="4"/>
    <n v="144"/>
    <n v="4000"/>
    <n v="3000"/>
    <n v="576000"/>
    <n v="144000"/>
  </r>
  <r>
    <d v="2020-08-06T00:00:00"/>
    <x v="4"/>
    <x v="2"/>
    <x v="5"/>
    <n v="92"/>
    <n v="600"/>
    <n v="400"/>
    <n v="55200"/>
    <n v="18400"/>
  </r>
  <r>
    <s v="21-12-2021"/>
    <x v="7"/>
    <x v="0"/>
    <x v="0"/>
    <n v="71"/>
    <n v="6000"/>
    <n v="4000"/>
    <n v="426000"/>
    <n v="142000"/>
  </r>
  <r>
    <d v="2021-10-08T00:00:00"/>
    <x v="0"/>
    <x v="1"/>
    <x v="5"/>
    <n v="103"/>
    <n v="600"/>
    <n v="400"/>
    <n v="61800"/>
    <n v="20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AC801-3300-4E43-AE35-C642C494E7A7}" name="Pivot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8"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3"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0F078-4F22-42B8-AD41-615317B7FEC4}" name="Units Sold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8:C26"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3"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8BE2BB-BE63-4DCA-BC79-C0E794AD8676}" name="Pivot Sales 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3"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C1C62-BE64-4C9C-9C7B-3EAA0261C8D2}" name="Pivot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3:E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3"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5">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6"/>
          </reference>
        </references>
      </pivotArea>
    </chartFormat>
    <chartFormat chart="15" format="2">
      <pivotArea type="data" outline="0" fieldPosition="0">
        <references count="2">
          <reference field="4294967294" count="1" selected="0">
            <x v="0"/>
          </reference>
          <reference field="3" count="1" selected="0">
            <x v="5"/>
          </reference>
        </references>
      </pivotArea>
    </chartFormat>
    <chartFormat chart="15" format="3">
      <pivotArea type="data" outline="0" fieldPosition="0">
        <references count="2">
          <reference field="4294967294" count="1" selected="0">
            <x v="0"/>
          </reference>
          <reference field="3" count="1" selected="0">
            <x v="3"/>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65506E2-F236-42C1-9E2E-A8F41BF35D57}" sourceName="Sales person">
  <pivotTables>
    <pivotTable tabId="2" name="Pivot region"/>
    <pivotTable tabId="2" name="Pivot Products"/>
    <pivotTable tabId="2" name="Pivot Sales person"/>
    <pivotTable tabId="2" name="Units Sold Pivot"/>
  </pivotTables>
  <data>
    <tabular pivotCacheId="98666792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547A9C-288D-4DF5-875B-04FD53D9FCAE}" sourceName="Region">
  <pivotTables>
    <pivotTable tabId="2" name="Pivot region"/>
    <pivotTable tabId="2" name="Pivot Products"/>
    <pivotTable tabId="2" name="Pivot Sales person"/>
    <pivotTable tabId="2" name="Units Sold Pivot"/>
  </pivotTables>
  <data>
    <tabular pivotCacheId="986667920">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783660A2-9618-48DC-A3EA-730204D47C28}" sourceName="Products">
  <pivotTables>
    <pivotTable tabId="2" name="Pivot region"/>
    <pivotTable tabId="2" name="Pivot Products"/>
    <pivotTable tabId="2" name="Pivot Sales person"/>
    <pivotTable tabId="2" name="Units Sold Pivot"/>
  </pivotTables>
  <data>
    <tabular pivotCacheId="986667920">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D412C90-9C0A-4B22-AB7C-768A15071EB8}" cache="Slicer_Sales_person" caption="Sales person" rowHeight="241300"/>
  <slicer name="Region" xr10:uid="{93B01321-046E-4E7B-880A-1BF1E5F447BE}" cache="Slicer_Region" caption="Region" columnCount="2" showCaption="0" rowHeight="288000"/>
  <slicer name="Products" xr10:uid="{407A3FF5-354A-481C-97DC-32AF4506D7C0}" cache="Slicer_Products" caption="Produc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AD7CFD5-0B2C-44E8-899B-D12A9969F61A}" cache="Slicer_Sales_person" caption="Sales person" style="Slicer Style 1" rowHeight="241300"/>
  <slicer name="Region 1" xr10:uid="{4AB54E4E-69A8-4AA8-9202-7B9622D5BF72}" cache="Slicer_Region" caption="Region" columnCount="2" showCaption="0" style="Slicer Style 1" rowHeight="288000"/>
  <slicer name="Products 1" xr10:uid="{26C87F24-98FE-4159-8C45-35F5A5EE6177}" cache="Slicer_Products" caption="Products"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F82F3-937C-4B13-8863-2CA3C5A85E5F}" name="Table1" displayName="Table1" ref="A1:I24" totalsRowShown="0" tableBorderDxfId="9">
  <autoFilter ref="A1:I24" xr:uid="{5E2F82F3-937C-4B13-8863-2CA3C5A85E5F}"/>
  <tableColumns count="9">
    <tableColumn id="1" xr3:uid="{E6C4ED7B-513A-4F7E-80EA-1C44D87DFD45}" name="Date" dataDxfId="8"/>
    <tableColumn id="2" xr3:uid="{E4FB043C-2FCA-43F0-8B99-4287D81E75A5}" name="Sales person" dataDxfId="7"/>
    <tableColumn id="3" xr3:uid="{7720F38E-0CA9-44BF-8CB5-6B2A8A9B36A4}" name="Region" dataDxfId="6"/>
    <tableColumn id="4" xr3:uid="{5F7BBB3D-CF49-4DF1-9E95-8CFC699F9641}" name="Products" dataDxfId="5"/>
    <tableColumn id="5" xr3:uid="{66D4A196-1766-4D56-B82F-5C304A2E42F1}" name="Units sold" dataDxfId="4"/>
    <tableColumn id="6" xr3:uid="{45E5BBAF-B6BF-463E-B0E5-22007DACBAB5}" name="Unit price" dataDxfId="3"/>
    <tableColumn id="7" xr3:uid="{DD17ED5E-1249-461F-8582-603330A04B69}" name="Cost of goods" dataDxfId="2"/>
    <tableColumn id="8" xr3:uid="{BCC76DA5-1B2C-44FD-9D8E-8E8280099ABC}" name="Total sales" dataDxfId="1" dataCellStyle="Comma">
      <calculatedColumnFormula>Table1[[#This Row],[Units sold]]*Table1[[#This Row],[Unit price]]</calculatedColumnFormula>
    </tableColumn>
    <tableColumn id="9" xr3:uid="{8D9BEBAE-FFF9-4C84-B495-BAE0C26A22BD}" name="Profit" dataDxfId="0">
      <calculatedColumnFormula>Table1[[#This Row],[Total sales]]-Table1[[#This Row],[Cost of goods]]*Table1[[#This Row],[Units sold]]</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3FBC-5464-4975-94E0-81A69D23F350}">
  <dimension ref="A1:N24"/>
  <sheetViews>
    <sheetView zoomScaleNormal="100" workbookViewId="0">
      <selection activeCell="N24" sqref="N24"/>
    </sheetView>
  </sheetViews>
  <sheetFormatPr defaultRowHeight="15" x14ac:dyDescent="0.25"/>
  <cols>
    <col min="1" max="1" width="10.42578125" customWidth="1"/>
    <col min="2" max="2" width="14.28515625" customWidth="1"/>
    <col min="3" max="3" width="9.28515625" customWidth="1"/>
    <col min="4" max="4" width="10.85546875" customWidth="1"/>
    <col min="5" max="5" width="12" customWidth="1"/>
    <col min="6" max="6" width="11.85546875" customWidth="1"/>
    <col min="7" max="7" width="15" customWidth="1"/>
    <col min="8" max="8" width="14.85546875" customWidth="1"/>
    <col min="9" max="9" width="12.140625" customWidth="1"/>
    <col min="12" max="12" width="13.28515625" customWidth="1"/>
    <col min="14" max="14" width="13.28515625" bestFit="1" customWidth="1"/>
  </cols>
  <sheetData>
    <row r="1" spans="1:14" x14ac:dyDescent="0.25">
      <c r="A1" t="s">
        <v>30</v>
      </c>
      <c r="B1" t="s">
        <v>31</v>
      </c>
      <c r="C1" t="s">
        <v>32</v>
      </c>
      <c r="D1" t="s">
        <v>33</v>
      </c>
      <c r="E1" t="s">
        <v>34</v>
      </c>
      <c r="F1" t="s">
        <v>35</v>
      </c>
      <c r="G1" t="s">
        <v>36</v>
      </c>
      <c r="H1" t="s">
        <v>37</v>
      </c>
      <c r="I1" t="s">
        <v>38</v>
      </c>
    </row>
    <row r="2" spans="1:14" x14ac:dyDescent="0.25">
      <c r="A2" s="1" t="s">
        <v>0</v>
      </c>
      <c r="B2" s="2" t="s">
        <v>1</v>
      </c>
      <c r="C2" s="2" t="s">
        <v>2</v>
      </c>
      <c r="D2" s="2" t="s">
        <v>3</v>
      </c>
      <c r="E2" s="2">
        <v>84</v>
      </c>
      <c r="F2" s="3">
        <v>6000</v>
      </c>
      <c r="G2" s="4">
        <v>4000</v>
      </c>
      <c r="H2" s="5">
        <f>Table1[[#This Row],[Units sold]]*Table1[[#This Row],[Unit price]]</f>
        <v>504000</v>
      </c>
      <c r="I2" s="6">
        <f>Table1[[#This Row],[Total sales]]-Table1[[#This Row],[Cost of goods]]*Table1[[#This Row],[Units sold]]</f>
        <v>168000</v>
      </c>
    </row>
    <row r="3" spans="1:14" x14ac:dyDescent="0.25">
      <c r="A3" s="7">
        <v>44386</v>
      </c>
      <c r="B3" s="8" t="s">
        <v>4</v>
      </c>
      <c r="C3" s="8" t="s">
        <v>5</v>
      </c>
      <c r="D3" s="8" t="s">
        <v>6</v>
      </c>
      <c r="E3" s="8">
        <v>128</v>
      </c>
      <c r="F3" s="9">
        <v>3500</v>
      </c>
      <c r="G3" s="10">
        <v>2500</v>
      </c>
      <c r="H3" s="5">
        <f>Table1[[#This Row],[Units sold]]*Table1[[#This Row],[Unit price]]</f>
        <v>448000</v>
      </c>
      <c r="I3" s="6">
        <f>Table1[[#This Row],[Total sales]]-Table1[[#This Row],[Cost of goods]]*Table1[[#This Row],[Units sold]]</f>
        <v>128000</v>
      </c>
    </row>
    <row r="4" spans="1:14" x14ac:dyDescent="0.25">
      <c r="A4" s="1">
        <v>44257</v>
      </c>
      <c r="B4" s="2" t="s">
        <v>7</v>
      </c>
      <c r="C4" s="2" t="s">
        <v>8</v>
      </c>
      <c r="D4" s="2" t="s">
        <v>9</v>
      </c>
      <c r="E4" s="2">
        <v>136</v>
      </c>
      <c r="F4" s="3">
        <v>1200</v>
      </c>
      <c r="G4" s="4">
        <v>800</v>
      </c>
      <c r="H4" s="5">
        <f>Table1[[#This Row],[Units sold]]*Table1[[#This Row],[Unit price]]</f>
        <v>163200</v>
      </c>
      <c r="I4" s="6">
        <f>Table1[[#This Row],[Total sales]]-Table1[[#This Row],[Cost of goods]]*Table1[[#This Row],[Units sold]]</f>
        <v>54400</v>
      </c>
    </row>
    <row r="5" spans="1:14" x14ac:dyDescent="0.25">
      <c r="A5" s="7">
        <v>44144</v>
      </c>
      <c r="B5" s="8" t="s">
        <v>10</v>
      </c>
      <c r="C5" s="8" t="s">
        <v>11</v>
      </c>
      <c r="D5" s="8" t="s">
        <v>12</v>
      </c>
      <c r="E5" s="8">
        <v>91</v>
      </c>
      <c r="F5" s="9">
        <v>1000</v>
      </c>
      <c r="G5" s="10">
        <v>700</v>
      </c>
      <c r="H5" s="5">
        <f>Table1[[#This Row],[Units sold]]*Table1[[#This Row],[Unit price]]</f>
        <v>91000</v>
      </c>
      <c r="I5" s="6">
        <f>Table1[[#This Row],[Total sales]]-Table1[[#This Row],[Cost of goods]]*Table1[[#This Row],[Units sold]]</f>
        <v>27300</v>
      </c>
    </row>
    <row r="6" spans="1:14" x14ac:dyDescent="0.25">
      <c r="A6" s="1" t="s">
        <v>13</v>
      </c>
      <c r="B6" s="2" t="s">
        <v>14</v>
      </c>
      <c r="C6" s="2" t="s">
        <v>2</v>
      </c>
      <c r="D6" s="2" t="s">
        <v>15</v>
      </c>
      <c r="E6" s="2">
        <v>110</v>
      </c>
      <c r="F6" s="3">
        <v>4000</v>
      </c>
      <c r="G6" s="4">
        <v>3000</v>
      </c>
      <c r="H6" s="5">
        <f>Table1[[#This Row],[Units sold]]*Table1[[#This Row],[Unit price]]</f>
        <v>440000</v>
      </c>
      <c r="I6" s="6">
        <f>Table1[[#This Row],[Total sales]]-Table1[[#This Row],[Cost of goods]]*Table1[[#This Row],[Units sold]]</f>
        <v>110000</v>
      </c>
    </row>
    <row r="7" spans="1:14" x14ac:dyDescent="0.25">
      <c r="A7" s="7">
        <v>43840</v>
      </c>
      <c r="B7" s="8" t="s">
        <v>16</v>
      </c>
      <c r="C7" s="8" t="s">
        <v>5</v>
      </c>
      <c r="D7" s="8" t="s">
        <v>9</v>
      </c>
      <c r="E7" s="8">
        <v>51</v>
      </c>
      <c r="F7" s="9">
        <v>1200</v>
      </c>
      <c r="G7" s="10">
        <v>800</v>
      </c>
      <c r="H7" s="5">
        <f>Table1[[#This Row],[Units sold]]*Table1[[#This Row],[Unit price]]</f>
        <v>61200</v>
      </c>
      <c r="I7" s="6">
        <f>Table1[[#This Row],[Total sales]]-Table1[[#This Row],[Cost of goods]]*Table1[[#This Row],[Units sold]]</f>
        <v>20400</v>
      </c>
    </row>
    <row r="8" spans="1:14" x14ac:dyDescent="0.25">
      <c r="A8" s="1">
        <v>44324</v>
      </c>
      <c r="B8" s="2" t="s">
        <v>17</v>
      </c>
      <c r="C8" s="2" t="s">
        <v>11</v>
      </c>
      <c r="D8" s="2" t="s">
        <v>12</v>
      </c>
      <c r="E8" s="2">
        <v>78</v>
      </c>
      <c r="F8" s="3">
        <v>1000</v>
      </c>
      <c r="G8" s="4">
        <v>700</v>
      </c>
      <c r="H8" s="5">
        <f>Table1[[#This Row],[Units sold]]*Table1[[#This Row],[Unit price]]</f>
        <v>78000</v>
      </c>
      <c r="I8" s="6">
        <f>Table1[[#This Row],[Total sales]]-Table1[[#This Row],[Cost of goods]]*Table1[[#This Row],[Units sold]]</f>
        <v>23400</v>
      </c>
    </row>
    <row r="9" spans="1:14" x14ac:dyDescent="0.25">
      <c r="A9" s="7">
        <v>43993</v>
      </c>
      <c r="B9" s="8" t="s">
        <v>18</v>
      </c>
      <c r="C9" s="8" t="s">
        <v>8</v>
      </c>
      <c r="D9" s="8" t="s">
        <v>3</v>
      </c>
      <c r="E9" s="8">
        <v>146</v>
      </c>
      <c r="F9" s="9">
        <v>6000</v>
      </c>
      <c r="G9" s="10">
        <v>4000</v>
      </c>
      <c r="H9" s="5">
        <f>Table1[[#This Row],[Units sold]]*Table1[[#This Row],[Unit price]]</f>
        <v>876000</v>
      </c>
      <c r="I9" s="6">
        <f>Table1[[#This Row],[Total sales]]-Table1[[#This Row],[Cost of goods]]*Table1[[#This Row],[Units sold]]</f>
        <v>292000</v>
      </c>
    </row>
    <row r="10" spans="1:14" x14ac:dyDescent="0.25">
      <c r="A10" s="1" t="s">
        <v>19</v>
      </c>
      <c r="B10" s="2" t="s">
        <v>20</v>
      </c>
      <c r="C10" s="2" t="s">
        <v>2</v>
      </c>
      <c r="D10" s="2" t="s">
        <v>21</v>
      </c>
      <c r="E10" s="2">
        <v>101</v>
      </c>
      <c r="F10" s="3">
        <v>600</v>
      </c>
      <c r="G10" s="4">
        <v>400</v>
      </c>
      <c r="H10" s="5">
        <f>Table1[[#This Row],[Units sold]]*Table1[[#This Row],[Unit price]]</f>
        <v>60600</v>
      </c>
      <c r="I10" s="6">
        <f>Table1[[#This Row],[Total sales]]-Table1[[#This Row],[Cost of goods]]*Table1[[#This Row],[Units sold]]</f>
        <v>20200</v>
      </c>
    </row>
    <row r="11" spans="1:14" x14ac:dyDescent="0.25">
      <c r="A11" s="7">
        <v>44264</v>
      </c>
      <c r="B11" s="8" t="s">
        <v>22</v>
      </c>
      <c r="C11" s="8" t="s">
        <v>8</v>
      </c>
      <c r="D11" s="8" t="s">
        <v>3</v>
      </c>
      <c r="E11" s="8">
        <v>52</v>
      </c>
      <c r="F11" s="9">
        <v>6000</v>
      </c>
      <c r="G11" s="10">
        <v>4000</v>
      </c>
      <c r="H11" s="5">
        <f>Table1[[#This Row],[Units sold]]*Table1[[#This Row],[Unit price]]</f>
        <v>312000</v>
      </c>
      <c r="I11" s="6">
        <f>Table1[[#This Row],[Total sales]]-Table1[[#This Row],[Cost of goods]]*Table1[[#This Row],[Units sold]]</f>
        <v>104000</v>
      </c>
      <c r="L11" s="19" t="s">
        <v>41</v>
      </c>
    </row>
    <row r="12" spans="1:14" x14ac:dyDescent="0.25">
      <c r="A12" s="1" t="s">
        <v>23</v>
      </c>
      <c r="B12" s="2" t="s">
        <v>22</v>
      </c>
      <c r="C12" s="2" t="s">
        <v>5</v>
      </c>
      <c r="D12" s="2" t="s">
        <v>9</v>
      </c>
      <c r="E12" s="2">
        <v>55</v>
      </c>
      <c r="F12" s="3">
        <v>1200</v>
      </c>
      <c r="G12" s="4">
        <v>800</v>
      </c>
      <c r="H12" s="5">
        <f>Table1[[#This Row],[Units sold]]*Table1[[#This Row],[Unit price]]</f>
        <v>66000</v>
      </c>
      <c r="I12" s="6">
        <f>Table1[[#This Row],[Total sales]]-Table1[[#This Row],[Cost of goods]]*Table1[[#This Row],[Units sold]]</f>
        <v>22000</v>
      </c>
      <c r="L12" s="18">
        <f>SUM(Table1[Total sales])</f>
        <v>6966800</v>
      </c>
    </row>
    <row r="13" spans="1:14" x14ac:dyDescent="0.25">
      <c r="A13" s="7">
        <v>44113</v>
      </c>
      <c r="B13" s="8" t="s">
        <v>22</v>
      </c>
      <c r="C13" s="8" t="s">
        <v>8</v>
      </c>
      <c r="D13" s="8" t="s">
        <v>12</v>
      </c>
      <c r="E13" s="8">
        <v>137</v>
      </c>
      <c r="F13" s="9">
        <v>1000</v>
      </c>
      <c r="G13" s="10">
        <v>700</v>
      </c>
      <c r="H13" s="5">
        <f>Table1[[#This Row],[Units sold]]*Table1[[#This Row],[Unit price]]</f>
        <v>137000</v>
      </c>
      <c r="I13" s="6">
        <f>Table1[[#This Row],[Total sales]]-Table1[[#This Row],[Cost of goods]]*Table1[[#This Row],[Units sold]]</f>
        <v>41100</v>
      </c>
    </row>
    <row r="14" spans="1:14" x14ac:dyDescent="0.25">
      <c r="A14" s="1" t="s">
        <v>24</v>
      </c>
      <c r="B14" s="2" t="s">
        <v>18</v>
      </c>
      <c r="C14" s="2" t="s">
        <v>8</v>
      </c>
      <c r="D14" s="2" t="s">
        <v>6</v>
      </c>
      <c r="E14" s="2">
        <v>96</v>
      </c>
      <c r="F14" s="3">
        <v>3500</v>
      </c>
      <c r="G14" s="4">
        <v>2.5</v>
      </c>
      <c r="H14" s="5">
        <f>Table1[[#This Row],[Units sold]]*Table1[[#This Row],[Unit price]]</f>
        <v>336000</v>
      </c>
      <c r="I14" s="6">
        <f>Table1[[#This Row],[Total sales]]-Table1[[#This Row],[Cost of goods]]*Table1[[#This Row],[Units sold]]</f>
        <v>335760</v>
      </c>
      <c r="L14" s="19" t="s">
        <v>40</v>
      </c>
    </row>
    <row r="15" spans="1:14" x14ac:dyDescent="0.25">
      <c r="A15" s="7">
        <v>44084</v>
      </c>
      <c r="B15" s="8" t="s">
        <v>20</v>
      </c>
      <c r="C15" s="8" t="s">
        <v>5</v>
      </c>
      <c r="D15" s="8" t="s">
        <v>15</v>
      </c>
      <c r="E15" s="8">
        <v>52</v>
      </c>
      <c r="F15" s="9">
        <v>4000</v>
      </c>
      <c r="G15" s="10">
        <v>3000</v>
      </c>
      <c r="H15" s="5">
        <f>Table1[[#This Row],[Units sold]]*Table1[[#This Row],[Unit price]]</f>
        <v>208000</v>
      </c>
      <c r="I15" s="6">
        <f>Table1[[#This Row],[Total sales]]-Table1[[#This Row],[Cost of goods]]*Table1[[#This Row],[Units sold]]</f>
        <v>52000</v>
      </c>
      <c r="L15">
        <f>SUM(E2:E24)</f>
        <v>2230</v>
      </c>
      <c r="N15" s="19" t="s">
        <v>46</v>
      </c>
    </row>
    <row r="16" spans="1:14" x14ac:dyDescent="0.25">
      <c r="A16" s="1">
        <v>44351</v>
      </c>
      <c r="B16" s="2" t="s">
        <v>10</v>
      </c>
      <c r="C16" s="2" t="s">
        <v>2</v>
      </c>
      <c r="D16" s="2" t="s">
        <v>6</v>
      </c>
      <c r="E16" s="2">
        <v>76</v>
      </c>
      <c r="F16" s="3">
        <v>3500</v>
      </c>
      <c r="G16" s="4">
        <v>2500</v>
      </c>
      <c r="H16" s="5">
        <f>Table1[[#This Row],[Units sold]]*Table1[[#This Row],[Unit price]]</f>
        <v>266000</v>
      </c>
      <c r="I16" s="6">
        <f>Table1[[#This Row],[Total sales]]-Table1[[#This Row],[Cost of goods]]*Table1[[#This Row],[Units sold]]</f>
        <v>76000</v>
      </c>
      <c r="N16" s="18">
        <f>AVERAGE(Table1[Total sales])</f>
        <v>302904.34782608697</v>
      </c>
    </row>
    <row r="17" spans="1:12" x14ac:dyDescent="0.25">
      <c r="A17" s="7" t="s">
        <v>25</v>
      </c>
      <c r="B17" s="8" t="s">
        <v>4</v>
      </c>
      <c r="C17" s="8" t="s">
        <v>11</v>
      </c>
      <c r="D17" s="8" t="s">
        <v>15</v>
      </c>
      <c r="E17" s="8">
        <v>145</v>
      </c>
      <c r="F17" s="9">
        <v>4000</v>
      </c>
      <c r="G17" s="10">
        <v>3000</v>
      </c>
      <c r="H17" s="5">
        <f>Table1[[#This Row],[Units sold]]*Table1[[#This Row],[Unit price]]</f>
        <v>580000</v>
      </c>
      <c r="I17" s="6">
        <f>Table1[[#This Row],[Total sales]]-Table1[[#This Row],[Cost of goods]]*Table1[[#This Row],[Units sold]]</f>
        <v>145000</v>
      </c>
    </row>
    <row r="18" spans="1:12" x14ac:dyDescent="0.25">
      <c r="A18" s="1">
        <v>44083</v>
      </c>
      <c r="B18" s="2" t="s">
        <v>1</v>
      </c>
      <c r="C18" s="2" t="s">
        <v>8</v>
      </c>
      <c r="D18" s="2" t="s">
        <v>21</v>
      </c>
      <c r="E18" s="2">
        <v>83</v>
      </c>
      <c r="F18" s="3">
        <v>600</v>
      </c>
      <c r="G18" s="4">
        <v>400</v>
      </c>
      <c r="H18" s="5">
        <f>Table1[[#This Row],[Units sold]]*Table1[[#This Row],[Unit price]]</f>
        <v>49800</v>
      </c>
      <c r="I18" s="6">
        <f>Table1[[#This Row],[Total sales]]-Table1[[#This Row],[Cost of goods]]*Table1[[#This Row],[Units sold]]</f>
        <v>16600</v>
      </c>
      <c r="L18" s="19" t="s">
        <v>39</v>
      </c>
    </row>
    <row r="19" spans="1:12" x14ac:dyDescent="0.25">
      <c r="A19" s="7" t="s">
        <v>26</v>
      </c>
      <c r="B19" s="8" t="s">
        <v>14</v>
      </c>
      <c r="C19" s="8" t="s">
        <v>8</v>
      </c>
      <c r="D19" s="8" t="s">
        <v>12</v>
      </c>
      <c r="E19" s="8">
        <v>91</v>
      </c>
      <c r="F19" s="9">
        <v>1000</v>
      </c>
      <c r="G19" s="10">
        <v>700</v>
      </c>
      <c r="H19" s="5">
        <f>Table1[[#This Row],[Units sold]]*Table1[[#This Row],[Unit price]]</f>
        <v>91000</v>
      </c>
      <c r="I19" s="6">
        <f>Table1[[#This Row],[Total sales]]-Table1[[#This Row],[Cost of goods]]*Table1[[#This Row],[Units sold]]</f>
        <v>27300</v>
      </c>
      <c r="L19" s="18">
        <f>SUM(Table1[Profit])</f>
        <v>2312460</v>
      </c>
    </row>
    <row r="20" spans="1:12" x14ac:dyDescent="0.25">
      <c r="A20" s="1" t="s">
        <v>27</v>
      </c>
      <c r="B20" s="2" t="s">
        <v>16</v>
      </c>
      <c r="C20" s="2" t="s">
        <v>2</v>
      </c>
      <c r="D20" s="2" t="s">
        <v>28</v>
      </c>
      <c r="E20" s="2">
        <v>108</v>
      </c>
      <c r="F20" s="3">
        <v>10000</v>
      </c>
      <c r="G20" s="4">
        <v>7000</v>
      </c>
      <c r="H20" s="5">
        <f>Table1[[#This Row],[Units sold]]*Table1[[#This Row],[Unit price]]</f>
        <v>1080000</v>
      </c>
      <c r="I20" s="6">
        <f>Table1[[#This Row],[Total sales]]-Table1[[#This Row],[Cost of goods]]*Table1[[#This Row],[Units sold]]</f>
        <v>324000</v>
      </c>
    </row>
    <row r="21" spans="1:12" x14ac:dyDescent="0.25">
      <c r="A21" s="7">
        <v>44381</v>
      </c>
      <c r="B21" s="8" t="s">
        <v>7</v>
      </c>
      <c r="C21" s="8" t="s">
        <v>11</v>
      </c>
      <c r="D21" s="8" t="s">
        <v>15</v>
      </c>
      <c r="E21" s="8">
        <v>144</v>
      </c>
      <c r="F21" s="9">
        <v>4000</v>
      </c>
      <c r="G21" s="10">
        <v>3000</v>
      </c>
      <c r="H21" s="5">
        <f>Table1[[#This Row],[Units sold]]*Table1[[#This Row],[Unit price]]</f>
        <v>576000</v>
      </c>
      <c r="I21" s="6">
        <f>Table1[[#This Row],[Total sales]]-Table1[[#This Row],[Cost of goods]]*Table1[[#This Row],[Units sold]]</f>
        <v>144000</v>
      </c>
    </row>
    <row r="22" spans="1:12" x14ac:dyDescent="0.25">
      <c r="A22" s="1">
        <v>44049</v>
      </c>
      <c r="B22" s="2" t="s">
        <v>14</v>
      </c>
      <c r="C22" s="2" t="s">
        <v>8</v>
      </c>
      <c r="D22" s="2" t="s">
        <v>21</v>
      </c>
      <c r="E22" s="2">
        <v>92</v>
      </c>
      <c r="F22" s="3">
        <v>600</v>
      </c>
      <c r="G22" s="4">
        <v>400</v>
      </c>
      <c r="H22" s="5">
        <f>Table1[[#This Row],[Units sold]]*Table1[[#This Row],[Unit price]]</f>
        <v>55200</v>
      </c>
      <c r="I22" s="6">
        <f>Table1[[#This Row],[Total sales]]-Table1[[#This Row],[Cost of goods]]*Table1[[#This Row],[Units sold]]</f>
        <v>18400</v>
      </c>
    </row>
    <row r="23" spans="1:12" x14ac:dyDescent="0.25">
      <c r="A23" s="7" t="s">
        <v>29</v>
      </c>
      <c r="B23" s="8" t="s">
        <v>18</v>
      </c>
      <c r="C23" s="8" t="s">
        <v>2</v>
      </c>
      <c r="D23" s="8" t="s">
        <v>3</v>
      </c>
      <c r="E23" s="8">
        <v>71</v>
      </c>
      <c r="F23" s="9">
        <v>6000</v>
      </c>
      <c r="G23" s="10">
        <v>4000</v>
      </c>
      <c r="H23" s="5">
        <f>Table1[[#This Row],[Units sold]]*Table1[[#This Row],[Unit price]]</f>
        <v>426000</v>
      </c>
      <c r="I23" s="6">
        <f>Table1[[#This Row],[Total sales]]-Table1[[#This Row],[Cost of goods]]*Table1[[#This Row],[Units sold]]</f>
        <v>142000</v>
      </c>
    </row>
    <row r="24" spans="1:12" x14ac:dyDescent="0.25">
      <c r="A24" s="11">
        <v>44477</v>
      </c>
      <c r="B24" s="12" t="s">
        <v>1</v>
      </c>
      <c r="C24" s="12" t="s">
        <v>5</v>
      </c>
      <c r="D24" s="12" t="s">
        <v>21</v>
      </c>
      <c r="E24" s="12">
        <v>103</v>
      </c>
      <c r="F24" s="13">
        <v>600</v>
      </c>
      <c r="G24" s="14">
        <v>400</v>
      </c>
      <c r="H24" s="5">
        <f>Table1[[#This Row],[Units sold]]*Table1[[#This Row],[Unit price]]</f>
        <v>61800</v>
      </c>
      <c r="I24" s="6">
        <f>Table1[[#This Row],[Total sales]]-Table1[[#This Row],[Cost of goods]]*Table1[[#This Row],[Units sold]]</f>
        <v>20600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5F59-ADF6-4787-9C21-F8761F7E0D17}">
  <dimension ref="A3:H26"/>
  <sheetViews>
    <sheetView topLeftCell="A3" zoomScale="60" zoomScaleNormal="60" workbookViewId="0">
      <selection activeCell="P22" sqref="P22"/>
    </sheetView>
  </sheetViews>
  <sheetFormatPr defaultRowHeight="15" x14ac:dyDescent="0.25"/>
  <cols>
    <col min="1" max="1" width="19.7109375" customWidth="1"/>
    <col min="2" max="2" width="19.7109375" bestFit="1" customWidth="1"/>
    <col min="3" max="3" width="24" customWidth="1"/>
    <col min="4" max="4" width="19.7109375" customWidth="1"/>
    <col min="5" max="5" width="25.42578125" customWidth="1"/>
    <col min="7" max="7" width="19.7109375" customWidth="1"/>
    <col min="8" max="8" width="25.42578125" customWidth="1"/>
  </cols>
  <sheetData>
    <row r="3" spans="1:8" x14ac:dyDescent="0.25">
      <c r="A3" s="15" t="s">
        <v>42</v>
      </c>
      <c r="B3" t="s">
        <v>44</v>
      </c>
      <c r="D3" s="15" t="s">
        <v>42</v>
      </c>
      <c r="E3" t="s">
        <v>44</v>
      </c>
      <c r="G3" s="15" t="s">
        <v>42</v>
      </c>
      <c r="H3" t="s">
        <v>44</v>
      </c>
    </row>
    <row r="4" spans="1:8" x14ac:dyDescent="0.25">
      <c r="A4" s="16" t="s">
        <v>5</v>
      </c>
      <c r="B4" s="17">
        <v>845000</v>
      </c>
      <c r="D4" s="16" t="s">
        <v>9</v>
      </c>
      <c r="E4" s="17">
        <v>290400</v>
      </c>
      <c r="G4" s="16" t="s">
        <v>1</v>
      </c>
      <c r="H4" s="17">
        <v>615600</v>
      </c>
    </row>
    <row r="5" spans="1:8" x14ac:dyDescent="0.25">
      <c r="A5" s="16" t="s">
        <v>11</v>
      </c>
      <c r="B5" s="17">
        <v>1325000</v>
      </c>
      <c r="D5" s="16" t="s">
        <v>6</v>
      </c>
      <c r="E5" s="17">
        <v>1050000</v>
      </c>
      <c r="G5" s="16" t="s">
        <v>20</v>
      </c>
      <c r="H5" s="17">
        <v>268600</v>
      </c>
    </row>
    <row r="6" spans="1:8" x14ac:dyDescent="0.25">
      <c r="A6" s="16" t="s">
        <v>8</v>
      </c>
      <c r="B6" s="17">
        <v>2020200</v>
      </c>
      <c r="D6" s="16" t="s">
        <v>21</v>
      </c>
      <c r="E6" s="17">
        <v>227400</v>
      </c>
      <c r="G6" s="16" t="s">
        <v>10</v>
      </c>
      <c r="H6" s="17">
        <v>357000</v>
      </c>
    </row>
    <row r="7" spans="1:8" x14ac:dyDescent="0.25">
      <c r="A7" s="16" t="s">
        <v>2</v>
      </c>
      <c r="B7" s="17">
        <v>2776600</v>
      </c>
      <c r="D7" s="16" t="s">
        <v>12</v>
      </c>
      <c r="E7" s="17">
        <v>397000</v>
      </c>
      <c r="G7" s="16" t="s">
        <v>16</v>
      </c>
      <c r="H7" s="17">
        <v>1141200</v>
      </c>
    </row>
    <row r="8" spans="1:8" x14ac:dyDescent="0.25">
      <c r="A8" s="16" t="s">
        <v>43</v>
      </c>
      <c r="B8" s="17">
        <v>6966800</v>
      </c>
      <c r="D8" s="16" t="s">
        <v>28</v>
      </c>
      <c r="E8" s="17">
        <v>1080000</v>
      </c>
      <c r="G8" s="16" t="s">
        <v>18</v>
      </c>
      <c r="H8" s="17">
        <v>1638000</v>
      </c>
    </row>
    <row r="9" spans="1:8" x14ac:dyDescent="0.25">
      <c r="D9" s="16" t="s">
        <v>15</v>
      </c>
      <c r="E9" s="17">
        <v>1804000</v>
      </c>
      <c r="G9" s="16" t="s">
        <v>7</v>
      </c>
      <c r="H9" s="17">
        <v>739200</v>
      </c>
    </row>
    <row r="10" spans="1:8" x14ac:dyDescent="0.25">
      <c r="D10" s="16" t="s">
        <v>3</v>
      </c>
      <c r="E10" s="17">
        <v>2118000</v>
      </c>
      <c r="G10" s="16" t="s">
        <v>4</v>
      </c>
      <c r="H10" s="17">
        <v>1028000</v>
      </c>
    </row>
    <row r="11" spans="1:8" x14ac:dyDescent="0.25">
      <c r="D11" s="16" t="s">
        <v>43</v>
      </c>
      <c r="E11" s="17">
        <v>6966800</v>
      </c>
      <c r="G11" s="16" t="s">
        <v>14</v>
      </c>
      <c r="H11" s="17">
        <v>586200</v>
      </c>
    </row>
    <row r="12" spans="1:8" x14ac:dyDescent="0.25">
      <c r="G12" s="16" t="s">
        <v>22</v>
      </c>
      <c r="H12" s="17">
        <v>515000</v>
      </c>
    </row>
    <row r="13" spans="1:8" x14ac:dyDescent="0.25">
      <c r="G13" s="16" t="s">
        <v>17</v>
      </c>
      <c r="H13" s="17">
        <v>78000</v>
      </c>
    </row>
    <row r="14" spans="1:8" x14ac:dyDescent="0.25">
      <c r="G14" s="16" t="s">
        <v>43</v>
      </c>
      <c r="H14" s="17">
        <v>6966800</v>
      </c>
    </row>
    <row r="18" spans="2:3" x14ac:dyDescent="0.25">
      <c r="B18" s="15" t="s">
        <v>42</v>
      </c>
      <c r="C18" t="s">
        <v>45</v>
      </c>
    </row>
    <row r="19" spans="2:3" x14ac:dyDescent="0.25">
      <c r="B19" s="16" t="s">
        <v>9</v>
      </c>
      <c r="C19">
        <v>242</v>
      </c>
    </row>
    <row r="20" spans="2:3" x14ac:dyDescent="0.25">
      <c r="B20" s="16" t="s">
        <v>6</v>
      </c>
      <c r="C20">
        <v>300</v>
      </c>
    </row>
    <row r="21" spans="2:3" x14ac:dyDescent="0.25">
      <c r="B21" s="16" t="s">
        <v>21</v>
      </c>
      <c r="C21">
        <v>379</v>
      </c>
    </row>
    <row r="22" spans="2:3" x14ac:dyDescent="0.25">
      <c r="B22" s="16" t="s">
        <v>12</v>
      </c>
      <c r="C22">
        <v>397</v>
      </c>
    </row>
    <row r="23" spans="2:3" x14ac:dyDescent="0.25">
      <c r="B23" s="16" t="s">
        <v>28</v>
      </c>
      <c r="C23">
        <v>108</v>
      </c>
    </row>
    <row r="24" spans="2:3" x14ac:dyDescent="0.25">
      <c r="B24" s="16" t="s">
        <v>15</v>
      </c>
      <c r="C24">
        <v>451</v>
      </c>
    </row>
    <row r="25" spans="2:3" x14ac:dyDescent="0.25">
      <c r="B25" s="16" t="s">
        <v>3</v>
      </c>
      <c r="C25">
        <v>353</v>
      </c>
    </row>
    <row r="26" spans="2:3" x14ac:dyDescent="0.25">
      <c r="B26" s="16" t="s">
        <v>43</v>
      </c>
      <c r="C26">
        <v>2230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A8816-63A9-4FC6-A62F-E3385A95EC33}">
  <dimension ref="A1"/>
  <sheetViews>
    <sheetView showGridLines="0" tabSelected="1" zoomScale="74" zoomScaleNormal="90" zoomScaleSheetLayoutView="10" workbookViewId="0">
      <selection activeCell="AA48" sqref="AA4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D8A55E-4D1D-4E0F-9666-868E82666C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Nallini K</dc:creator>
  <cp:lastModifiedBy>Nallini K</cp:lastModifiedBy>
  <dcterms:created xsi:type="dcterms:W3CDTF">2026-06-15T16:11:45Z</dcterms:created>
  <dcterms:modified xsi:type="dcterms:W3CDTF">2026-06-16T20:07:54Z</dcterms:modified>
</cp:coreProperties>
</file>